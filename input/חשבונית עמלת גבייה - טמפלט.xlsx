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Aiprojects\urbangroup\input\"/>
    </mc:Choice>
  </mc:AlternateContent>
  <xr:revisionPtr revIDLastSave="0" documentId="13_ncr:1_{13E19A83-DD02-4AF9-99E1-EE60A24BFB9F}" xr6:coauthVersionLast="47" xr6:coauthVersionMax="47" xr10:uidLastSave="{00000000-0000-0000-0000-000000000000}"/>
  <bookViews>
    <workbookView xWindow="-120" yWindow="-120" windowWidth="29040" windowHeight="17520" xr2:uid="{F7882DC7-3C36-42B4-9589-99FFA8E4CD68}"/>
  </bookViews>
  <sheets>
    <sheet name="חשבוניות" sheetId="4" r:id="rId1"/>
  </sheets>
  <definedNames>
    <definedName name="_xlnm._FilterDatabase" localSheetId="0" hidden="1">חשבוניות!$C$2:$L$51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1" i="4" l="1"/>
  <c r="K50" i="4"/>
  <c r="K49" i="4"/>
  <c r="K48" i="4"/>
  <c r="K47" i="4"/>
  <c r="K4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K4" i="4"/>
  <c r="K3" i="4"/>
</calcChain>
</file>

<file path=xl/sharedStrings.xml><?xml version="1.0" encoding="utf-8"?>
<sst xmlns="http://schemas.openxmlformats.org/spreadsheetml/2006/main" count="305" uniqueCount="110">
  <si>
    <t>פרטים</t>
  </si>
  <si>
    <t xml:space="preserve">סניף </t>
  </si>
  <si>
    <t>מספר לקוח פריוריטי</t>
  </si>
  <si>
    <t>סכום כולל מע"מ</t>
  </si>
  <si>
    <t>עמלת גביה 1/26</t>
  </si>
  <si>
    <t>תאריך חשבונית</t>
  </si>
  <si>
    <t>מקט</t>
  </si>
  <si>
    <t>1001</t>
  </si>
  <si>
    <t>1002</t>
  </si>
  <si>
    <t>בי"ס דנמרק ירושלים</t>
  </si>
  <si>
    <t>1003</t>
  </si>
  <si>
    <t>המכללה הטכנולוגית י-ם</t>
  </si>
  <si>
    <t>1004</t>
  </si>
  <si>
    <t>ביה"ס למדעים ואומנויות</t>
  </si>
  <si>
    <t>1005</t>
  </si>
  <si>
    <t>עט ודף בע"מ</t>
  </si>
  <si>
    <t>1006</t>
  </si>
  <si>
    <t>לקוח לנסיון - מספור</t>
  </si>
  <si>
    <t>1007</t>
  </si>
  <si>
    <t>ישראל ישראלי</t>
  </si>
  <si>
    <t>1008</t>
  </si>
  <si>
    <t>דני דניאלי</t>
  </si>
  <si>
    <t>1009</t>
  </si>
  <si>
    <t>וועד בית שלנסקי א</t>
  </si>
  <si>
    <t>101</t>
  </si>
  <si>
    <t>נאסא</t>
  </si>
  <si>
    <t>1010</t>
  </si>
  <si>
    <t>בית הארגז 8</t>
  </si>
  <si>
    <t>1011</t>
  </si>
  <si>
    <t>dffhg</t>
  </si>
  <si>
    <t>1012</t>
  </si>
  <si>
    <t>דני דין</t>
  </si>
  <si>
    <t>1018</t>
  </si>
  <si>
    <t>TEST_USER2</t>
  </si>
  <si>
    <t>1019</t>
  </si>
  <si>
    <t>וועד בית הגוז 6</t>
  </si>
  <si>
    <t>102</t>
  </si>
  <si>
    <t>נאסא - רכש</t>
  </si>
  <si>
    <t>1020</t>
  </si>
  <si>
    <t>1021</t>
  </si>
  <si>
    <t>Lalit Joshi</t>
  </si>
  <si>
    <t>1022</t>
  </si>
  <si>
    <t>ישראל יוזף</t>
  </si>
  <si>
    <t>1023</t>
  </si>
  <si>
    <t>SIDDHANT SHUKLA</t>
  </si>
  <si>
    <t>1024</t>
  </si>
  <si>
    <t>לקוח חדש של בועז</t>
  </si>
  <si>
    <t>1025</t>
  </si>
  <si>
    <t>לקוח חדש של יוסי</t>
  </si>
  <si>
    <t>1026</t>
  </si>
  <si>
    <t>לקוח בדיקה - אורי</t>
  </si>
  <si>
    <t>1027</t>
  </si>
  <si>
    <t>Up Client1</t>
  </si>
  <si>
    <t>1028</t>
  </si>
  <si>
    <t>1029</t>
  </si>
  <si>
    <t>Test Test</t>
  </si>
  <si>
    <t>1030</t>
  </si>
  <si>
    <t>1031</t>
  </si>
  <si>
    <t>דוד מלסמסחרי</t>
  </si>
  <si>
    <t>1032</t>
  </si>
  <si>
    <t>דוד מלסמגורים</t>
  </si>
  <si>
    <t>1033</t>
  </si>
  <si>
    <t>Up Client2</t>
  </si>
  <si>
    <t>1034</t>
  </si>
  <si>
    <t>Up Client3</t>
  </si>
  <si>
    <t>1035</t>
  </si>
  <si>
    <t>Test4 Test4</t>
  </si>
  <si>
    <t>1036</t>
  </si>
  <si>
    <t>Test5 Test5</t>
  </si>
  <si>
    <t>1037</t>
  </si>
  <si>
    <t>זהורית אקלר</t>
  </si>
  <si>
    <t>1038</t>
  </si>
  <si>
    <t>איל רובוביץ</t>
  </si>
  <si>
    <t>1039</t>
  </si>
  <si>
    <t>נועם שמגר</t>
  </si>
  <si>
    <t>1040</t>
  </si>
  <si>
    <t>Davyd Diken</t>
  </si>
  <si>
    <t>1041</t>
  </si>
  <si>
    <t>boaz englander</t>
  </si>
  <si>
    <t>1044</t>
  </si>
  <si>
    <t>SHIVAM SONI</t>
  </si>
  <si>
    <t>1045</t>
  </si>
  <si>
    <t>SHUBHAM JAISWAL</t>
  </si>
  <si>
    <t>1047</t>
  </si>
  <si>
    <t>וועד בית - נתן יונתן 7 נתניה</t>
  </si>
  <si>
    <t>1048</t>
  </si>
  <si>
    <t>LALIT MOHAN</t>
  </si>
  <si>
    <t>1050</t>
  </si>
  <si>
    <t>א. כוכבי הצפון בע"מ</t>
  </si>
  <si>
    <t>1101</t>
  </si>
  <si>
    <t>סוקולוב 22 בת ים - וועד בית</t>
  </si>
  <si>
    <t>1102</t>
  </si>
  <si>
    <t>תומס אומלי</t>
  </si>
  <si>
    <t>1103</t>
  </si>
  <si>
    <t>אביחי</t>
  </si>
  <si>
    <t>1999</t>
  </si>
  <si>
    <t>לקוח כללי</t>
  </si>
  <si>
    <t>50420</t>
  </si>
  <si>
    <t>Test 1123</t>
  </si>
  <si>
    <t>53000</t>
  </si>
  <si>
    <t>מארי לאה (לילי)</t>
  </si>
  <si>
    <t>שם לקוח</t>
  </si>
  <si>
    <t>000</t>
  </si>
  <si>
    <t>001</t>
  </si>
  <si>
    <t>כמות</t>
  </si>
  <si>
    <t>סכום לפני מעמ</t>
  </si>
  <si>
    <t>מס</t>
  </si>
  <si>
    <t>תאור מוצר</t>
  </si>
  <si>
    <t>עמלת גביה חשמל לחודש  1/26</t>
  </si>
  <si>
    <t>TGL1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</si>
</sst>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d/m/yyyy"/>
  </numFmts>
  <fonts count="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0" fontId="1" fillId="0" borderId="0"/>
  </cellStyleXfs>
  <cellXfs count="12">
    <xf numFmtId="0" fontId="0" fillId="0" borderId="0" xfId="0"/>
    <xf numFmtId="0" fontId="2" fillId="0" borderId="0" xfId="0" applyFont="1"/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49" fontId="0" fillId="0" borderId="0" xfId="0" applyNumberFormat="1"/>
    <xf numFmtId="49" fontId="2" fillId="0" borderId="0" xfId="0" applyNumberFormat="1" applyFont="1"/>
    <xf numFmtId="49" fontId="0" fillId="0" borderId="0" xfId="0" applyNumberFormat="1" applyAlignment="1">
      <alignment horizontal="right"/>
    </xf>
    <xf numFmtId="49" fontId="2" fillId="0" borderId="0" xfId="0" applyNumberFormat="1" applyFont="1" applyAlignment="1">
      <alignment horizontal="right"/>
    </xf>
    <xf numFmtId="43" fontId="0" fillId="0" borderId="0" xfId="1" applyFont="1"/>
    <xf numFmtId="43" fontId="2" fillId="0" borderId="0" xfId="1" applyFont="1"/>
    <xf numFmtId="165" fontId="2" fillId="0" borderId="0" xfId="0" applyNumberFormat="1" applyFont="1"/>
    <xf numFmtId="165" fontId="0" fillId="0" borderId="0" xfId="0" applyNumberFormat="1"/>
  </cellXfs>
  <cellStyles count="3">
    <cellStyle name="Comma" xfId="1" builtinId="3"/>
    <cellStyle name="Normal" xfId="0" builtinId="0"/>
    <cellStyle name="Normal 2" xfId="2" xr:uid="{C9872659-DE3C-4C82-B550-858BA167AD22}"/>
  </cellStyles>
  <dxfs count="8">
    <dxf>
      <numFmt numFmtId="30" formatCode="@"/>
      <alignment horizontal="right" vertical="bottom" textRotation="0" wrapText="0" indent="0" justifyLastLine="0" shrinkToFit="0" readingOrder="0"/>
    </dxf>
    <dxf>
      <numFmt numFmtId="165" formatCode="d/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30" formatCode="@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AFB1AF-42DE-4F2D-9FFC-C1F968D9EA7A}" name="Table1" displayName="Table1" ref="B2:L51" totalsRowShown="0" headerRowDxfId="7" headerRowCellStyle="Comma">
  <autoFilter ref="B2:L51" xr:uid="{2CAFB1AF-42DE-4F2D-9FFC-C1F968D9EA7A}"/>
  <tableColumns count="11">
    <tableColumn id="1" xr3:uid="{E4BCD5FA-3CE3-46A7-9C5D-87679EC5E96E}" name="מס"/>
    <tableColumn id="2" xr3:uid="{D21822D3-CF90-4F22-8E4E-ED10F199C6FF}" name="תאריך חשבונית" dataDxfId="1"/>
    <tableColumn id="3" xr3:uid="{0A1A60C3-5789-4FBC-B7A7-DD4A216E2883}" name="פרטים"/>
    <tableColumn id="4" xr3:uid="{027EF1E1-BD51-4250-9C07-1692FF3C641B}" name="סניף " dataDxfId="6"/>
    <tableColumn id="5" xr3:uid="{7F02F0DC-BBA2-4D6E-A6FF-E280E31094D3}" name="מספר לקוח פריוריטי" dataDxfId="5"/>
    <tableColumn id="6" xr3:uid="{06A13D9B-A7C7-4646-B6AF-459E6CE143C4}" name="שם לקוח" dataDxfId="4"/>
    <tableColumn id="7" xr3:uid="{D4DC2AA9-AE28-4CD2-9B1A-E84508BAFA1F}" name="מקט" dataDxfId="3"/>
    <tableColumn id="11" xr3:uid="{9C030421-0280-4344-8A7D-6F338C2CE856}" name="תאור מוצר" dataDxfId="0"/>
    <tableColumn id="8" xr3:uid="{113995E6-A4A4-40D4-B55F-149014499DC9}" name="כמות"/>
    <tableColumn id="9" xr3:uid="{F4F78B81-E796-466B-9ED0-12255B03DDFA}" name="סכום לפני מעמ" dataDxfId="2" dataCellStyle="Comma">
      <calculatedColumnFormula>L3/1.18</calculatedColumnFormula>
    </tableColumn>
    <tableColumn id="10" xr3:uid="{CA04FF52-A709-4121-9424-D471EAAA4CF1}" name="סכום כולל מע&quot;מ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6E5EF-838F-413E-8A80-52D1F5590769}">
  <dimension ref="B2:L51"/>
  <sheetViews>
    <sheetView rightToLeft="1" tabSelected="1" topLeftCell="C1" zoomScale="130" zoomScaleNormal="130" workbookViewId="0">
      <selection activeCell="B2" sqref="B2:L2"/>
    </sheetView>
  </sheetViews>
  <sheetFormatPr defaultRowHeight="15.75" x14ac:dyDescent="0.25"/>
  <cols>
    <col min="3" max="3" width="22.375" style="11" customWidth="1"/>
    <col min="4" max="4" width="31.375" customWidth="1"/>
    <col min="5" max="5" width="6" style="4" customWidth="1"/>
    <col min="6" max="6" width="13.25" style="2" customWidth="1"/>
    <col min="7" max="7" width="19.125" style="2" bestFit="1" customWidth="1"/>
    <col min="8" max="8" width="9.875" style="6" customWidth="1"/>
    <col min="9" max="9" width="21.375" style="6" customWidth="1"/>
    <col min="10" max="10" width="10.875" customWidth="1"/>
    <col min="11" max="11" width="14.75" style="8" customWidth="1"/>
    <col min="12" max="12" width="14.25" customWidth="1"/>
  </cols>
  <sheetData>
    <row r="2" spans="2:12" s="1" customFormat="1" x14ac:dyDescent="0.25">
      <c r="B2" s="1" t="s">
        <v>106</v>
      </c>
      <c r="C2" s="10" t="s">
        <v>5</v>
      </c>
      <c r="D2" s="1" t="s">
        <v>0</v>
      </c>
      <c r="E2" s="5" t="s">
        <v>1</v>
      </c>
      <c r="F2" s="3" t="s">
        <v>2</v>
      </c>
      <c r="G2" s="3" t="s">
        <v>101</v>
      </c>
      <c r="H2" s="7" t="s">
        <v>6</v>
      </c>
      <c r="I2" s="7" t="s">
        <v>107</v>
      </c>
      <c r="J2" s="1" t="s">
        <v>104</v>
      </c>
      <c r="K2" s="9" t="s">
        <v>105</v>
      </c>
      <c r="L2" s="1" t="s">
        <v>3</v>
      </c>
    </row>
    <row r="3" spans="2:12" x14ac:dyDescent="0.25">
      <c r="B3">
        <v>1</v>
      </c>
      <c r="C3" s="11">
        <v>46059</v>
      </c>
      <c r="D3" t="s">
        <v>4</v>
      </c>
      <c r="E3" s="4" t="s">
        <v>102</v>
      </c>
      <c r="F3" s="2" t="s">
        <v>7</v>
      </c>
      <c r="G3" s="2" t="s">
        <v>109</v>
      </c>
      <c r="H3" s="6" t="s">
        <v>103</v>
      </c>
      <c r="I3" t="s">
        <v>108</v>
      </c>
      <c r="J3">
        <v>1</v>
      </c>
      <c r="K3" s="8">
        <f>L3/1.18</f>
        <v>54.423728813559322</v>
      </c>
      <c r="L3">
        <v>64.22</v>
      </c>
    </row>
    <row r="4" spans="2:12" x14ac:dyDescent="0.25">
      <c r="B4">
        <v>2</v>
      </c>
      <c r="C4" s="11">
        <v>46059</v>
      </c>
      <c r="D4" t="s">
        <v>4</v>
      </c>
      <c r="E4" s="4" t="s">
        <v>102</v>
      </c>
      <c r="F4" s="2" t="s">
        <v>8</v>
      </c>
      <c r="G4" s="2" t="s">
        <v>9</v>
      </c>
      <c r="H4" s="6" t="s">
        <v>103</v>
      </c>
      <c r="I4" t="s">
        <v>108</v>
      </c>
      <c r="J4">
        <v>1</v>
      </c>
      <c r="K4" s="8">
        <f t="shared" ref="K4:K51" si="0">L4/1.18</f>
        <v>32.652542372881349</v>
      </c>
      <c r="L4">
        <v>38.529999999999994</v>
      </c>
    </row>
    <row r="5" spans="2:12" x14ac:dyDescent="0.25">
      <c r="B5">
        <v>3</v>
      </c>
      <c r="C5" s="11">
        <v>46059</v>
      </c>
      <c r="D5" t="s">
        <v>4</v>
      </c>
      <c r="E5" s="4" t="s">
        <v>102</v>
      </c>
      <c r="F5" s="2" t="s">
        <v>10</v>
      </c>
      <c r="G5" s="2" t="s">
        <v>11</v>
      </c>
      <c r="H5" s="6" t="s">
        <v>103</v>
      </c>
      <c r="I5" t="s">
        <v>108</v>
      </c>
      <c r="J5">
        <v>1</v>
      </c>
      <c r="K5" s="8">
        <f t="shared" si="0"/>
        <v>72.29661016949153</v>
      </c>
      <c r="L5">
        <v>85.31</v>
      </c>
    </row>
    <row r="6" spans="2:12" x14ac:dyDescent="0.25">
      <c r="B6">
        <v>4</v>
      </c>
      <c r="C6" s="11">
        <v>46059</v>
      </c>
      <c r="D6" t="s">
        <v>4</v>
      </c>
      <c r="E6" s="4" t="s">
        <v>102</v>
      </c>
      <c r="F6" s="2" t="s">
        <v>12</v>
      </c>
      <c r="G6" s="2" t="s">
        <v>13</v>
      </c>
      <c r="H6" s="6" t="s">
        <v>103</v>
      </c>
      <c r="I6" t="s">
        <v>108</v>
      </c>
      <c r="J6">
        <v>1</v>
      </c>
      <c r="K6" s="8">
        <f t="shared" si="0"/>
        <v>44.305084745762706</v>
      </c>
      <c r="L6">
        <v>52.279999999999987</v>
      </c>
    </row>
    <row r="7" spans="2:12" x14ac:dyDescent="0.25">
      <c r="B7">
        <v>5</v>
      </c>
      <c r="C7" s="11">
        <v>46059</v>
      </c>
      <c r="D7" t="s">
        <v>4</v>
      </c>
      <c r="E7" s="4" t="s">
        <v>102</v>
      </c>
      <c r="F7" s="2" t="s">
        <v>14</v>
      </c>
      <c r="G7" s="2" t="s">
        <v>15</v>
      </c>
      <c r="H7" s="6" t="s">
        <v>103</v>
      </c>
      <c r="I7" t="s">
        <v>108</v>
      </c>
      <c r="J7">
        <v>1</v>
      </c>
      <c r="K7" s="8">
        <f t="shared" si="0"/>
        <v>9.7711864406779654</v>
      </c>
      <c r="L7">
        <v>11.53</v>
      </c>
    </row>
    <row r="8" spans="2:12" x14ac:dyDescent="0.25">
      <c r="B8">
        <v>6</v>
      </c>
      <c r="C8" s="11">
        <v>46059</v>
      </c>
      <c r="D8" t="s">
        <v>4</v>
      </c>
      <c r="E8" s="4" t="s">
        <v>102</v>
      </c>
      <c r="F8" s="2" t="s">
        <v>16</v>
      </c>
      <c r="G8" s="2" t="s">
        <v>17</v>
      </c>
      <c r="H8" s="6" t="s">
        <v>103</v>
      </c>
      <c r="I8" t="s">
        <v>108</v>
      </c>
      <c r="J8">
        <v>1</v>
      </c>
      <c r="K8" s="8">
        <f t="shared" si="0"/>
        <v>37.423728813559322</v>
      </c>
      <c r="L8">
        <v>44.16</v>
      </c>
    </row>
    <row r="9" spans="2:12" x14ac:dyDescent="0.25">
      <c r="B9">
        <v>7</v>
      </c>
      <c r="C9" s="11">
        <v>46059</v>
      </c>
      <c r="D9" t="s">
        <v>4</v>
      </c>
      <c r="E9" s="4" t="s">
        <v>102</v>
      </c>
      <c r="F9" s="2" t="s">
        <v>18</v>
      </c>
      <c r="G9" s="2" t="s">
        <v>19</v>
      </c>
      <c r="H9" s="6" t="s">
        <v>103</v>
      </c>
      <c r="I9" t="s">
        <v>108</v>
      </c>
      <c r="J9">
        <v>1</v>
      </c>
      <c r="K9" s="8">
        <f t="shared" si="0"/>
        <v>80.542372881355945</v>
      </c>
      <c r="L9">
        <v>95.04</v>
      </c>
    </row>
    <row r="10" spans="2:12" x14ac:dyDescent="0.25">
      <c r="B10">
        <v>8</v>
      </c>
      <c r="C10" s="11">
        <v>46059</v>
      </c>
      <c r="D10" t="s">
        <v>4</v>
      </c>
      <c r="E10" s="4" t="s">
        <v>102</v>
      </c>
      <c r="F10" s="2" t="s">
        <v>20</v>
      </c>
      <c r="G10" s="2" t="s">
        <v>21</v>
      </c>
      <c r="H10" s="6" t="s">
        <v>103</v>
      </c>
      <c r="I10" t="s">
        <v>108</v>
      </c>
      <c r="J10">
        <v>1</v>
      </c>
      <c r="K10" s="8">
        <f t="shared" si="0"/>
        <v>91.669491525423723</v>
      </c>
      <c r="L10">
        <v>108.16999999999999</v>
      </c>
    </row>
    <row r="11" spans="2:12" x14ac:dyDescent="0.25">
      <c r="B11">
        <v>9</v>
      </c>
      <c r="C11" s="11">
        <v>46059</v>
      </c>
      <c r="D11" t="s">
        <v>4</v>
      </c>
      <c r="E11" s="4" t="s">
        <v>102</v>
      </c>
      <c r="F11" s="2" t="s">
        <v>22</v>
      </c>
      <c r="G11" s="2" t="s">
        <v>23</v>
      </c>
      <c r="H11" s="6" t="s">
        <v>103</v>
      </c>
      <c r="I11" t="s">
        <v>108</v>
      </c>
      <c r="J11">
        <v>1</v>
      </c>
      <c r="K11" s="8">
        <f t="shared" si="0"/>
        <v>52.644067796610173</v>
      </c>
      <c r="L11">
        <v>62.120000000000005</v>
      </c>
    </row>
    <row r="12" spans="2:12" x14ac:dyDescent="0.25">
      <c r="B12">
        <v>10</v>
      </c>
      <c r="C12" s="11">
        <v>46059</v>
      </c>
      <c r="D12" t="s">
        <v>4</v>
      </c>
      <c r="E12" s="4" t="s">
        <v>102</v>
      </c>
      <c r="F12" s="2" t="s">
        <v>24</v>
      </c>
      <c r="G12" s="2" t="s">
        <v>25</v>
      </c>
      <c r="H12" s="6" t="s">
        <v>103</v>
      </c>
      <c r="I12" t="s">
        <v>108</v>
      </c>
      <c r="J12">
        <v>1</v>
      </c>
      <c r="K12" s="8">
        <f t="shared" si="0"/>
        <v>69.144067796610187</v>
      </c>
      <c r="L12">
        <v>81.590000000000018</v>
      </c>
    </row>
    <row r="13" spans="2:12" x14ac:dyDescent="0.25">
      <c r="B13">
        <v>11</v>
      </c>
      <c r="C13" s="11">
        <v>46059</v>
      </c>
      <c r="D13" t="s">
        <v>4</v>
      </c>
      <c r="E13" s="4" t="s">
        <v>102</v>
      </c>
      <c r="F13" s="2" t="s">
        <v>26</v>
      </c>
      <c r="G13" s="2" t="s">
        <v>27</v>
      </c>
      <c r="H13" s="6" t="s">
        <v>103</v>
      </c>
      <c r="I13" t="s">
        <v>108</v>
      </c>
      <c r="J13">
        <v>1</v>
      </c>
      <c r="K13" s="8">
        <f t="shared" si="0"/>
        <v>55.47457627118645</v>
      </c>
      <c r="L13">
        <v>65.460000000000008</v>
      </c>
    </row>
    <row r="14" spans="2:12" x14ac:dyDescent="0.25">
      <c r="B14">
        <v>12</v>
      </c>
      <c r="C14" s="11">
        <v>46059</v>
      </c>
      <c r="D14" t="s">
        <v>4</v>
      </c>
      <c r="E14" s="4" t="s">
        <v>102</v>
      </c>
      <c r="F14" s="2" t="s">
        <v>28</v>
      </c>
      <c r="G14" s="2" t="s">
        <v>29</v>
      </c>
      <c r="H14" s="6" t="s">
        <v>103</v>
      </c>
      <c r="I14" t="s">
        <v>108</v>
      </c>
      <c r="J14">
        <v>1</v>
      </c>
      <c r="K14" s="8">
        <f t="shared" si="0"/>
        <v>112.77966101694915</v>
      </c>
      <c r="L14">
        <v>133.07999999999998</v>
      </c>
    </row>
    <row r="15" spans="2:12" x14ac:dyDescent="0.25">
      <c r="B15">
        <v>13</v>
      </c>
      <c r="C15" s="11">
        <v>46059</v>
      </c>
      <c r="D15" t="s">
        <v>4</v>
      </c>
      <c r="E15" s="4" t="s">
        <v>102</v>
      </c>
      <c r="F15" s="2" t="s">
        <v>30</v>
      </c>
      <c r="G15" s="2" t="s">
        <v>31</v>
      </c>
      <c r="H15" s="6" t="s">
        <v>103</v>
      </c>
      <c r="I15" t="s">
        <v>108</v>
      </c>
      <c r="J15">
        <v>1</v>
      </c>
      <c r="K15" s="8">
        <f t="shared" si="0"/>
        <v>64.618644067796595</v>
      </c>
      <c r="L15">
        <v>76.249999999999986</v>
      </c>
    </row>
    <row r="16" spans="2:12" x14ac:dyDescent="0.25">
      <c r="B16">
        <v>14</v>
      </c>
      <c r="C16" s="11">
        <v>46059</v>
      </c>
      <c r="D16" t="s">
        <v>4</v>
      </c>
      <c r="E16" s="4" t="s">
        <v>102</v>
      </c>
      <c r="F16" s="2" t="s">
        <v>32</v>
      </c>
      <c r="G16" s="2" t="s">
        <v>33</v>
      </c>
      <c r="H16" s="6" t="s">
        <v>103</v>
      </c>
      <c r="I16" t="s">
        <v>108</v>
      </c>
      <c r="J16">
        <v>1</v>
      </c>
      <c r="K16" s="8">
        <f t="shared" si="0"/>
        <v>12.889830508474576</v>
      </c>
      <c r="L16">
        <v>15.209999999999999</v>
      </c>
    </row>
    <row r="17" spans="2:12" x14ac:dyDescent="0.25">
      <c r="B17">
        <v>15</v>
      </c>
      <c r="C17" s="11">
        <v>46059</v>
      </c>
      <c r="D17" t="s">
        <v>4</v>
      </c>
      <c r="E17" s="4" t="s">
        <v>102</v>
      </c>
      <c r="F17" s="2" t="s">
        <v>34</v>
      </c>
      <c r="G17" s="2" t="s">
        <v>35</v>
      </c>
      <c r="H17" s="6" t="s">
        <v>103</v>
      </c>
      <c r="I17" t="s">
        <v>108</v>
      </c>
      <c r="J17">
        <v>1</v>
      </c>
      <c r="K17" s="8">
        <f t="shared" si="0"/>
        <v>117.34745762711864</v>
      </c>
      <c r="L17">
        <v>138.47</v>
      </c>
    </row>
    <row r="18" spans="2:12" x14ac:dyDescent="0.25">
      <c r="B18">
        <v>16</v>
      </c>
      <c r="C18" s="11">
        <v>46059</v>
      </c>
      <c r="D18" t="s">
        <v>4</v>
      </c>
      <c r="E18" s="4" t="s">
        <v>102</v>
      </c>
      <c r="F18" s="2" t="s">
        <v>36</v>
      </c>
      <c r="G18" s="2" t="s">
        <v>37</v>
      </c>
      <c r="H18" s="6" t="s">
        <v>103</v>
      </c>
      <c r="I18" t="s">
        <v>108</v>
      </c>
      <c r="J18">
        <v>1</v>
      </c>
      <c r="K18" s="8">
        <f t="shared" si="0"/>
        <v>177.72033898305085</v>
      </c>
      <c r="L18">
        <v>209.70999999999998</v>
      </c>
    </row>
    <row r="19" spans="2:12" x14ac:dyDescent="0.25">
      <c r="B19">
        <v>17</v>
      </c>
      <c r="C19" s="11">
        <v>46059</v>
      </c>
      <c r="D19" t="s">
        <v>4</v>
      </c>
      <c r="E19" s="4" t="s">
        <v>102</v>
      </c>
      <c r="F19" s="2" t="s">
        <v>38</v>
      </c>
      <c r="G19" s="2" t="s">
        <v>33</v>
      </c>
      <c r="H19" s="6" t="s">
        <v>103</v>
      </c>
      <c r="I19" t="s">
        <v>108</v>
      </c>
      <c r="J19">
        <v>1</v>
      </c>
      <c r="K19" s="8">
        <f t="shared" si="0"/>
        <v>146.39830508474577</v>
      </c>
      <c r="L19">
        <v>172.75</v>
      </c>
    </row>
    <row r="20" spans="2:12" x14ac:dyDescent="0.25">
      <c r="B20">
        <v>18</v>
      </c>
      <c r="C20" s="11">
        <v>46059</v>
      </c>
      <c r="D20" t="s">
        <v>4</v>
      </c>
      <c r="E20" s="4" t="s">
        <v>102</v>
      </c>
      <c r="F20" s="2" t="s">
        <v>39</v>
      </c>
      <c r="G20" s="2" t="s">
        <v>40</v>
      </c>
      <c r="H20" s="6" t="s">
        <v>103</v>
      </c>
      <c r="I20" t="s">
        <v>108</v>
      </c>
      <c r="J20">
        <v>1</v>
      </c>
      <c r="K20" s="8">
        <f t="shared" si="0"/>
        <v>9.8474576271186454</v>
      </c>
      <c r="L20">
        <v>11.620000000000001</v>
      </c>
    </row>
    <row r="21" spans="2:12" x14ac:dyDescent="0.25">
      <c r="B21">
        <v>19</v>
      </c>
      <c r="C21" s="11">
        <v>46059</v>
      </c>
      <c r="D21" t="s">
        <v>4</v>
      </c>
      <c r="E21" s="4" t="s">
        <v>102</v>
      </c>
      <c r="F21" s="2" t="s">
        <v>41</v>
      </c>
      <c r="G21" s="2" t="s">
        <v>42</v>
      </c>
      <c r="H21" s="6" t="s">
        <v>103</v>
      </c>
      <c r="I21" t="s">
        <v>108</v>
      </c>
      <c r="J21">
        <v>1</v>
      </c>
      <c r="K21" s="8">
        <f t="shared" si="0"/>
        <v>73.855932203389827</v>
      </c>
      <c r="L21">
        <v>87.149999999999991</v>
      </c>
    </row>
    <row r="22" spans="2:12" x14ac:dyDescent="0.25">
      <c r="B22">
        <v>20</v>
      </c>
      <c r="C22" s="11">
        <v>46059</v>
      </c>
      <c r="D22" t="s">
        <v>4</v>
      </c>
      <c r="E22" s="4" t="s">
        <v>102</v>
      </c>
      <c r="F22" s="2" t="s">
        <v>43</v>
      </c>
      <c r="G22" s="2" t="s">
        <v>44</v>
      </c>
      <c r="H22" s="6" t="s">
        <v>103</v>
      </c>
      <c r="I22" t="s">
        <v>108</v>
      </c>
      <c r="J22">
        <v>1</v>
      </c>
      <c r="K22" s="8">
        <f t="shared" si="0"/>
        <v>74.347457627118644</v>
      </c>
      <c r="L22">
        <v>87.72999999999999</v>
      </c>
    </row>
    <row r="23" spans="2:12" x14ac:dyDescent="0.25">
      <c r="B23">
        <v>21</v>
      </c>
      <c r="C23" s="11">
        <v>46059</v>
      </c>
      <c r="D23" t="s">
        <v>4</v>
      </c>
      <c r="E23" s="4" t="s">
        <v>102</v>
      </c>
      <c r="F23" s="2" t="s">
        <v>45</v>
      </c>
      <c r="G23" s="2" t="s">
        <v>46</v>
      </c>
      <c r="H23" s="6" t="s">
        <v>103</v>
      </c>
      <c r="I23" t="s">
        <v>108</v>
      </c>
      <c r="J23">
        <v>1</v>
      </c>
      <c r="K23" s="8">
        <f t="shared" si="0"/>
        <v>35.16949152542373</v>
      </c>
      <c r="L23">
        <v>41.5</v>
      </c>
    </row>
    <row r="24" spans="2:12" x14ac:dyDescent="0.25">
      <c r="B24">
        <v>22</v>
      </c>
      <c r="C24" s="11">
        <v>46059</v>
      </c>
      <c r="D24" t="s">
        <v>4</v>
      </c>
      <c r="E24" s="4" t="s">
        <v>102</v>
      </c>
      <c r="F24" s="2" t="s">
        <v>47</v>
      </c>
      <c r="G24" s="2" t="s">
        <v>48</v>
      </c>
      <c r="H24" s="6" t="s">
        <v>103</v>
      </c>
      <c r="I24" t="s">
        <v>108</v>
      </c>
      <c r="J24">
        <v>1</v>
      </c>
      <c r="K24" s="8">
        <f t="shared" si="0"/>
        <v>61.457627118644069</v>
      </c>
      <c r="L24">
        <v>72.52</v>
      </c>
    </row>
    <row r="25" spans="2:12" x14ac:dyDescent="0.25">
      <c r="B25">
        <v>23</v>
      </c>
      <c r="C25" s="11">
        <v>46059</v>
      </c>
      <c r="D25" t="s">
        <v>4</v>
      </c>
      <c r="E25" s="4" t="s">
        <v>102</v>
      </c>
      <c r="F25" s="2" t="s">
        <v>49</v>
      </c>
      <c r="G25" s="2" t="s">
        <v>50</v>
      </c>
      <c r="H25" s="6" t="s">
        <v>103</v>
      </c>
      <c r="I25" t="s">
        <v>108</v>
      </c>
      <c r="J25">
        <v>1</v>
      </c>
      <c r="K25" s="8">
        <f t="shared" si="0"/>
        <v>55.050847457627114</v>
      </c>
      <c r="L25">
        <v>64.959999999999994</v>
      </c>
    </row>
    <row r="26" spans="2:12" x14ac:dyDescent="0.25">
      <c r="B26">
        <v>24</v>
      </c>
      <c r="C26" s="11">
        <v>46059</v>
      </c>
      <c r="D26" t="s">
        <v>4</v>
      </c>
      <c r="E26" s="4" t="s">
        <v>102</v>
      </c>
      <c r="F26" s="2" t="s">
        <v>51</v>
      </c>
      <c r="G26" s="2" t="s">
        <v>52</v>
      </c>
      <c r="H26" s="6" t="s">
        <v>103</v>
      </c>
      <c r="I26" t="s">
        <v>108</v>
      </c>
      <c r="J26">
        <v>1</v>
      </c>
      <c r="K26" s="8">
        <f t="shared" si="0"/>
        <v>101.50847457627117</v>
      </c>
      <c r="L26">
        <v>119.77999999999997</v>
      </c>
    </row>
    <row r="27" spans="2:12" x14ac:dyDescent="0.25">
      <c r="B27">
        <v>25</v>
      </c>
      <c r="C27" s="11">
        <v>46059</v>
      </c>
      <c r="D27" t="s">
        <v>4</v>
      </c>
      <c r="E27" s="4" t="s">
        <v>102</v>
      </c>
      <c r="F27" s="2" t="s">
        <v>53</v>
      </c>
      <c r="G27" s="2" t="s">
        <v>52</v>
      </c>
      <c r="H27" s="6" t="s">
        <v>103</v>
      </c>
      <c r="I27" t="s">
        <v>108</v>
      </c>
      <c r="J27">
        <v>1</v>
      </c>
      <c r="K27" s="8">
        <f t="shared" si="0"/>
        <v>23.050847457627114</v>
      </c>
      <c r="L27">
        <v>27.199999999999992</v>
      </c>
    </row>
    <row r="28" spans="2:12" x14ac:dyDescent="0.25">
      <c r="B28">
        <v>26</v>
      </c>
      <c r="C28" s="11">
        <v>46059</v>
      </c>
      <c r="D28" t="s">
        <v>4</v>
      </c>
      <c r="E28" s="4" t="s">
        <v>102</v>
      </c>
      <c r="F28" s="2" t="s">
        <v>54</v>
      </c>
      <c r="G28" s="2" t="s">
        <v>55</v>
      </c>
      <c r="H28" s="6" t="s">
        <v>103</v>
      </c>
      <c r="I28" t="s">
        <v>108</v>
      </c>
      <c r="J28">
        <v>1</v>
      </c>
      <c r="K28" s="8">
        <f t="shared" si="0"/>
        <v>58.644067796610173</v>
      </c>
      <c r="L28">
        <v>69.2</v>
      </c>
    </row>
    <row r="29" spans="2:12" x14ac:dyDescent="0.25">
      <c r="B29">
        <v>27</v>
      </c>
      <c r="C29" s="11">
        <v>46059</v>
      </c>
      <c r="D29" t="s">
        <v>4</v>
      </c>
      <c r="E29" s="4" t="s">
        <v>102</v>
      </c>
      <c r="F29" s="2" t="s">
        <v>56</v>
      </c>
      <c r="G29" s="2" t="s">
        <v>55</v>
      </c>
      <c r="H29" s="6" t="s">
        <v>103</v>
      </c>
      <c r="I29" t="s">
        <v>108</v>
      </c>
      <c r="J29">
        <v>1</v>
      </c>
      <c r="K29" s="8">
        <f t="shared" si="0"/>
        <v>68.093220338983045</v>
      </c>
      <c r="L29">
        <v>80.349999999999994</v>
      </c>
    </row>
    <row r="30" spans="2:12" x14ac:dyDescent="0.25">
      <c r="B30">
        <v>28</v>
      </c>
      <c r="C30" s="11">
        <v>46059</v>
      </c>
      <c r="D30" t="s">
        <v>4</v>
      </c>
      <c r="E30" s="4" t="s">
        <v>102</v>
      </c>
      <c r="F30" s="2" t="s">
        <v>57</v>
      </c>
      <c r="G30" s="2" t="s">
        <v>58</v>
      </c>
      <c r="H30" s="6" t="s">
        <v>103</v>
      </c>
      <c r="I30" t="s">
        <v>108</v>
      </c>
      <c r="J30">
        <v>1</v>
      </c>
      <c r="K30" s="8">
        <f t="shared" si="0"/>
        <v>51.525423728813557</v>
      </c>
      <c r="L30">
        <v>60.8</v>
      </c>
    </row>
    <row r="31" spans="2:12" x14ac:dyDescent="0.25">
      <c r="B31">
        <v>29</v>
      </c>
      <c r="C31" s="11">
        <v>46059</v>
      </c>
      <c r="D31" t="s">
        <v>4</v>
      </c>
      <c r="E31" s="4" t="s">
        <v>102</v>
      </c>
      <c r="F31" s="2" t="s">
        <v>59</v>
      </c>
      <c r="G31" s="2" t="s">
        <v>60</v>
      </c>
      <c r="H31" s="6" t="s">
        <v>103</v>
      </c>
      <c r="I31" t="s">
        <v>108</v>
      </c>
      <c r="J31">
        <v>1</v>
      </c>
      <c r="K31" s="8">
        <f t="shared" si="0"/>
        <v>30.516949152542377</v>
      </c>
      <c r="L31">
        <v>36.010000000000005</v>
      </c>
    </row>
    <row r="32" spans="2:12" x14ac:dyDescent="0.25">
      <c r="B32">
        <v>30</v>
      </c>
      <c r="C32" s="11">
        <v>46059</v>
      </c>
      <c r="D32" t="s">
        <v>4</v>
      </c>
      <c r="E32" s="4" t="s">
        <v>102</v>
      </c>
      <c r="F32" s="2" t="s">
        <v>61</v>
      </c>
      <c r="G32" s="2" t="s">
        <v>62</v>
      </c>
      <c r="H32" s="6" t="s">
        <v>103</v>
      </c>
      <c r="I32" t="s">
        <v>108</v>
      </c>
      <c r="J32">
        <v>1</v>
      </c>
      <c r="K32" s="8">
        <f t="shared" si="0"/>
        <v>43.915254237288131</v>
      </c>
      <c r="L32">
        <v>51.819999999999993</v>
      </c>
    </row>
    <row r="33" spans="2:12" x14ac:dyDescent="0.25">
      <c r="B33">
        <v>31</v>
      </c>
      <c r="C33" s="11">
        <v>46059</v>
      </c>
      <c r="D33" t="s">
        <v>4</v>
      </c>
      <c r="E33" s="4" t="s">
        <v>102</v>
      </c>
      <c r="F33" s="2" t="s">
        <v>63</v>
      </c>
      <c r="G33" s="2" t="s">
        <v>64</v>
      </c>
      <c r="H33" s="6" t="s">
        <v>103</v>
      </c>
      <c r="I33" t="s">
        <v>108</v>
      </c>
      <c r="J33">
        <v>1</v>
      </c>
      <c r="K33" s="8">
        <f t="shared" si="0"/>
        <v>36.96610169491526</v>
      </c>
      <c r="L33">
        <v>43.620000000000005</v>
      </c>
    </row>
    <row r="34" spans="2:12" x14ac:dyDescent="0.25">
      <c r="B34">
        <v>32</v>
      </c>
      <c r="C34" s="11">
        <v>46059</v>
      </c>
      <c r="D34" t="s">
        <v>4</v>
      </c>
      <c r="E34" s="4" t="s">
        <v>102</v>
      </c>
      <c r="F34" s="2" t="s">
        <v>65</v>
      </c>
      <c r="G34" s="2" t="s">
        <v>66</v>
      </c>
      <c r="H34" s="6" t="s">
        <v>103</v>
      </c>
      <c r="I34" t="s">
        <v>108</v>
      </c>
      <c r="J34">
        <v>1</v>
      </c>
      <c r="K34" s="8">
        <f t="shared" si="0"/>
        <v>7.0932203389830502</v>
      </c>
      <c r="L34">
        <v>8.3699999999999992</v>
      </c>
    </row>
    <row r="35" spans="2:12" x14ac:dyDescent="0.25">
      <c r="B35">
        <v>33</v>
      </c>
      <c r="C35" s="11">
        <v>46059</v>
      </c>
      <c r="D35" t="s">
        <v>4</v>
      </c>
      <c r="E35" s="4" t="s">
        <v>102</v>
      </c>
      <c r="F35" s="2" t="s">
        <v>67</v>
      </c>
      <c r="G35" s="2" t="s">
        <v>68</v>
      </c>
      <c r="H35" s="6" t="s">
        <v>103</v>
      </c>
      <c r="I35" t="s">
        <v>108</v>
      </c>
      <c r="J35">
        <v>1</v>
      </c>
      <c r="K35" s="8">
        <f t="shared" si="0"/>
        <v>23.330508474576273</v>
      </c>
      <c r="L35">
        <v>27.53</v>
      </c>
    </row>
    <row r="36" spans="2:12" x14ac:dyDescent="0.25">
      <c r="B36">
        <v>34</v>
      </c>
      <c r="C36" s="11">
        <v>46059</v>
      </c>
      <c r="D36" t="s">
        <v>4</v>
      </c>
      <c r="E36" s="4" t="s">
        <v>102</v>
      </c>
      <c r="F36" s="2" t="s">
        <v>69</v>
      </c>
      <c r="G36" s="2" t="s">
        <v>70</v>
      </c>
      <c r="H36" s="6" t="s">
        <v>103</v>
      </c>
      <c r="I36" t="s">
        <v>108</v>
      </c>
      <c r="J36">
        <v>1</v>
      </c>
      <c r="K36" s="8">
        <f t="shared" si="0"/>
        <v>29.067796610169491</v>
      </c>
      <c r="L36">
        <v>34.299999999999997</v>
      </c>
    </row>
    <row r="37" spans="2:12" x14ac:dyDescent="0.25">
      <c r="B37">
        <v>35</v>
      </c>
      <c r="C37" s="11">
        <v>46059</v>
      </c>
      <c r="D37" t="s">
        <v>4</v>
      </c>
      <c r="E37" s="4" t="s">
        <v>102</v>
      </c>
      <c r="F37" s="2" t="s">
        <v>71</v>
      </c>
      <c r="G37" s="2" t="s">
        <v>72</v>
      </c>
      <c r="H37" s="6" t="s">
        <v>103</v>
      </c>
      <c r="I37" t="s">
        <v>108</v>
      </c>
      <c r="J37">
        <v>1</v>
      </c>
      <c r="K37" s="8">
        <f t="shared" si="0"/>
        <v>57.228813559322028</v>
      </c>
      <c r="L37">
        <v>67.529999999999987</v>
      </c>
    </row>
    <row r="38" spans="2:12" x14ac:dyDescent="0.25">
      <c r="B38">
        <v>36</v>
      </c>
      <c r="C38" s="11">
        <v>46059</v>
      </c>
      <c r="D38" t="s">
        <v>4</v>
      </c>
      <c r="E38" s="4" t="s">
        <v>102</v>
      </c>
      <c r="F38" s="2" t="s">
        <v>73</v>
      </c>
      <c r="G38" s="2" t="s">
        <v>74</v>
      </c>
      <c r="H38" s="6" t="s">
        <v>103</v>
      </c>
      <c r="I38" t="s">
        <v>108</v>
      </c>
      <c r="J38">
        <v>1</v>
      </c>
      <c r="K38" s="8">
        <f t="shared" si="0"/>
        <v>46.974576271186443</v>
      </c>
      <c r="L38">
        <v>55.43</v>
      </c>
    </row>
    <row r="39" spans="2:12" x14ac:dyDescent="0.25">
      <c r="B39">
        <v>37</v>
      </c>
      <c r="C39" s="11">
        <v>46059</v>
      </c>
      <c r="D39" t="s">
        <v>4</v>
      </c>
      <c r="E39" s="4" t="s">
        <v>102</v>
      </c>
      <c r="F39" s="2" t="s">
        <v>75</v>
      </c>
      <c r="G39" s="2" t="s">
        <v>76</v>
      </c>
      <c r="H39" s="6" t="s">
        <v>103</v>
      </c>
      <c r="I39" t="s">
        <v>108</v>
      </c>
      <c r="J39">
        <v>1</v>
      </c>
      <c r="K39" s="8">
        <f t="shared" si="0"/>
        <v>236.68644067796612</v>
      </c>
      <c r="L39">
        <v>279.29000000000002</v>
      </c>
    </row>
    <row r="40" spans="2:12" x14ac:dyDescent="0.25">
      <c r="B40">
        <v>38</v>
      </c>
      <c r="C40" s="11">
        <v>46059</v>
      </c>
      <c r="D40" t="s">
        <v>4</v>
      </c>
      <c r="E40" s="4" t="s">
        <v>102</v>
      </c>
      <c r="F40" s="2" t="s">
        <v>77</v>
      </c>
      <c r="G40" s="2" t="s">
        <v>78</v>
      </c>
      <c r="H40" s="6" t="s">
        <v>103</v>
      </c>
      <c r="I40" t="s">
        <v>108</v>
      </c>
      <c r="J40">
        <v>1</v>
      </c>
      <c r="K40" s="8">
        <f t="shared" si="0"/>
        <v>54.711864406779668</v>
      </c>
      <c r="L40">
        <v>64.56</v>
      </c>
    </row>
    <row r="41" spans="2:12" x14ac:dyDescent="0.25">
      <c r="B41">
        <v>39</v>
      </c>
      <c r="C41" s="11">
        <v>46059</v>
      </c>
      <c r="D41" t="s">
        <v>4</v>
      </c>
      <c r="E41" s="4" t="s">
        <v>102</v>
      </c>
      <c r="F41" s="2" t="s">
        <v>79</v>
      </c>
      <c r="G41" s="2" t="s">
        <v>80</v>
      </c>
      <c r="H41" s="6" t="s">
        <v>103</v>
      </c>
      <c r="I41" t="s">
        <v>108</v>
      </c>
      <c r="J41">
        <v>1</v>
      </c>
      <c r="K41" s="8">
        <f t="shared" si="0"/>
        <v>87.093220338983059</v>
      </c>
      <c r="L41">
        <v>102.77000000000001</v>
      </c>
    </row>
    <row r="42" spans="2:12" x14ac:dyDescent="0.25">
      <c r="B42">
        <v>40</v>
      </c>
      <c r="C42" s="11">
        <v>46059</v>
      </c>
      <c r="D42" t="s">
        <v>4</v>
      </c>
      <c r="E42" s="4" t="s">
        <v>102</v>
      </c>
      <c r="F42" s="2" t="s">
        <v>81</v>
      </c>
      <c r="G42" s="2" t="s">
        <v>82</v>
      </c>
      <c r="H42" s="6" t="s">
        <v>103</v>
      </c>
      <c r="I42" t="s">
        <v>108</v>
      </c>
      <c r="J42">
        <v>1</v>
      </c>
      <c r="K42" s="8">
        <f t="shared" si="0"/>
        <v>122.15254237288133</v>
      </c>
      <c r="L42">
        <v>144.13999999999996</v>
      </c>
    </row>
    <row r="43" spans="2:12" x14ac:dyDescent="0.25">
      <c r="B43">
        <v>41</v>
      </c>
      <c r="C43" s="11">
        <v>46059</v>
      </c>
      <c r="D43" t="s">
        <v>4</v>
      </c>
      <c r="E43" s="4" t="s">
        <v>102</v>
      </c>
      <c r="F43" s="2" t="s">
        <v>83</v>
      </c>
      <c r="G43" s="2" t="s">
        <v>84</v>
      </c>
      <c r="H43" s="6" t="s">
        <v>103</v>
      </c>
      <c r="I43" t="s">
        <v>108</v>
      </c>
      <c r="J43">
        <v>1</v>
      </c>
      <c r="K43" s="8">
        <f t="shared" si="0"/>
        <v>46.313559322033903</v>
      </c>
      <c r="L43">
        <v>54.650000000000006</v>
      </c>
    </row>
    <row r="44" spans="2:12" x14ac:dyDescent="0.25">
      <c r="B44">
        <v>42</v>
      </c>
      <c r="C44" s="11">
        <v>46059</v>
      </c>
      <c r="D44" t="s">
        <v>4</v>
      </c>
      <c r="E44" s="4" t="s">
        <v>102</v>
      </c>
      <c r="F44" s="2" t="s">
        <v>85</v>
      </c>
      <c r="G44" s="2" t="s">
        <v>86</v>
      </c>
      <c r="H44" s="6" t="s">
        <v>103</v>
      </c>
      <c r="I44" t="s">
        <v>108</v>
      </c>
      <c r="J44">
        <v>1</v>
      </c>
      <c r="K44" s="8">
        <f t="shared" si="0"/>
        <v>21.66949152542373</v>
      </c>
      <c r="L44">
        <v>25.57</v>
      </c>
    </row>
    <row r="45" spans="2:12" x14ac:dyDescent="0.25">
      <c r="B45">
        <v>43</v>
      </c>
      <c r="C45" s="11">
        <v>46059</v>
      </c>
      <c r="D45" t="s">
        <v>4</v>
      </c>
      <c r="E45" s="4" t="s">
        <v>102</v>
      </c>
      <c r="F45" s="2" t="s">
        <v>87</v>
      </c>
      <c r="G45" s="2" t="s">
        <v>88</v>
      </c>
      <c r="H45" s="6" t="s">
        <v>103</v>
      </c>
      <c r="I45" t="s">
        <v>108</v>
      </c>
      <c r="J45">
        <v>1</v>
      </c>
      <c r="K45" s="8">
        <f t="shared" si="0"/>
        <v>44.627118644067799</v>
      </c>
      <c r="L45">
        <v>52.66</v>
      </c>
    </row>
    <row r="46" spans="2:12" x14ac:dyDescent="0.25">
      <c r="B46">
        <v>44</v>
      </c>
      <c r="C46" s="11">
        <v>46059</v>
      </c>
      <c r="D46" t="s">
        <v>4</v>
      </c>
      <c r="E46" s="4" t="s">
        <v>102</v>
      </c>
      <c r="F46" s="2" t="s">
        <v>89</v>
      </c>
      <c r="G46" s="2" t="s">
        <v>90</v>
      </c>
      <c r="H46" s="6" t="s">
        <v>103</v>
      </c>
      <c r="I46" t="s">
        <v>108</v>
      </c>
      <c r="J46">
        <v>1</v>
      </c>
      <c r="K46" s="8">
        <f t="shared" si="0"/>
        <v>16.194915254237287</v>
      </c>
      <c r="L46">
        <v>19.11</v>
      </c>
    </row>
    <row r="47" spans="2:12" x14ac:dyDescent="0.25">
      <c r="B47">
        <v>45</v>
      </c>
      <c r="C47" s="11">
        <v>46059</v>
      </c>
      <c r="D47" t="s">
        <v>4</v>
      </c>
      <c r="E47" s="4" t="s">
        <v>102</v>
      </c>
      <c r="F47" s="2" t="s">
        <v>91</v>
      </c>
      <c r="G47" s="2" t="s">
        <v>92</v>
      </c>
      <c r="H47" s="6" t="s">
        <v>103</v>
      </c>
      <c r="I47" t="s">
        <v>108</v>
      </c>
      <c r="J47">
        <v>1</v>
      </c>
      <c r="K47" s="8">
        <f t="shared" si="0"/>
        <v>40.381355932203391</v>
      </c>
      <c r="L47">
        <v>47.65</v>
      </c>
    </row>
    <row r="48" spans="2:12" x14ac:dyDescent="0.25">
      <c r="B48">
        <v>46</v>
      </c>
      <c r="C48" s="11">
        <v>46059</v>
      </c>
      <c r="D48" t="s">
        <v>4</v>
      </c>
      <c r="E48" s="4" t="s">
        <v>102</v>
      </c>
      <c r="F48" s="2" t="s">
        <v>93</v>
      </c>
      <c r="G48" s="2" t="s">
        <v>94</v>
      </c>
      <c r="H48" s="6" t="s">
        <v>103</v>
      </c>
      <c r="I48" t="s">
        <v>108</v>
      </c>
      <c r="J48">
        <v>1</v>
      </c>
      <c r="K48" s="8">
        <f t="shared" si="0"/>
        <v>26.966101694915256</v>
      </c>
      <c r="L48">
        <v>31.82</v>
      </c>
    </row>
    <row r="49" spans="2:12" x14ac:dyDescent="0.25">
      <c r="B49">
        <v>47</v>
      </c>
      <c r="C49" s="11">
        <v>46059</v>
      </c>
      <c r="D49" t="s">
        <v>4</v>
      </c>
      <c r="E49" s="4" t="s">
        <v>102</v>
      </c>
      <c r="F49" s="2" t="s">
        <v>95</v>
      </c>
      <c r="G49" s="2" t="s">
        <v>96</v>
      </c>
      <c r="H49" s="6" t="s">
        <v>103</v>
      </c>
      <c r="I49" t="s">
        <v>108</v>
      </c>
      <c r="J49">
        <v>1</v>
      </c>
      <c r="K49" s="8">
        <f t="shared" si="0"/>
        <v>27.940677966101703</v>
      </c>
      <c r="L49">
        <v>32.970000000000006</v>
      </c>
    </row>
    <row r="50" spans="2:12" x14ac:dyDescent="0.25">
      <c r="B50">
        <v>48</v>
      </c>
      <c r="C50" s="11">
        <v>46059</v>
      </c>
      <c r="D50" t="s">
        <v>4</v>
      </c>
      <c r="E50" s="4" t="s">
        <v>102</v>
      </c>
      <c r="F50" s="2" t="s">
        <v>97</v>
      </c>
      <c r="G50" s="2" t="s">
        <v>98</v>
      </c>
      <c r="H50" s="6" t="s">
        <v>103</v>
      </c>
      <c r="I50" t="s">
        <v>108</v>
      </c>
      <c r="J50">
        <v>1</v>
      </c>
      <c r="K50" s="8">
        <f t="shared" si="0"/>
        <v>74.779661016949163</v>
      </c>
      <c r="L50">
        <v>88.240000000000009</v>
      </c>
    </row>
    <row r="51" spans="2:12" x14ac:dyDescent="0.25">
      <c r="B51">
        <v>49</v>
      </c>
      <c r="C51" s="11">
        <v>46059</v>
      </c>
      <c r="D51" t="s">
        <v>4</v>
      </c>
      <c r="E51" s="4" t="s">
        <v>102</v>
      </c>
      <c r="F51" s="2" t="s">
        <v>99</v>
      </c>
      <c r="G51" s="2" t="s">
        <v>100</v>
      </c>
      <c r="H51" s="6" t="s">
        <v>103</v>
      </c>
      <c r="I51" t="s">
        <v>108</v>
      </c>
      <c r="J51">
        <v>1</v>
      </c>
      <c r="K51" s="8">
        <f t="shared" si="0"/>
        <v>44.254237288135592</v>
      </c>
      <c r="L51">
        <v>52.22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79ADEC314A57B24D868FBD1B89B9EC83" ma:contentTypeVersion="18" ma:contentTypeDescription="צור מסמך חדש." ma:contentTypeScope="" ma:versionID="97f78f6673f51417d450e29262b1e61c">
  <xsd:schema xmlns:xsd="http://www.w3.org/2001/XMLSchema" xmlns:xs="http://www.w3.org/2001/XMLSchema" xmlns:p="http://schemas.microsoft.com/office/2006/metadata/properties" xmlns:ns1="http://schemas.microsoft.com/sharepoint/v3" xmlns:ns2="bae1f775-eaa6-47b0-9d6d-ad06e653f861" xmlns:ns3="f8e2f3d0-1f4a-457b-a9a8-1887ba528e0d" targetNamespace="http://schemas.microsoft.com/office/2006/metadata/properties" ma:root="true" ma:fieldsID="264d4a48f82fed3214199a1c3baf6997" ns1:_="" ns2:_="" ns3:_="">
    <xsd:import namespace="http://schemas.microsoft.com/sharepoint/v3"/>
    <xsd:import namespace="bae1f775-eaa6-47b0-9d6d-ad06e653f861"/>
    <xsd:import namespace="f8e2f3d0-1f4a-457b-a9a8-1887ba528e0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1:PublishingStartDate" minOccurs="0"/>
                <xsd:element ref="ns1:PublishingExpirationDate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LengthInSecond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17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internalName="PublishingStartDate">
      <xsd:simpleType>
        <xsd:restriction base="dms:Unknown"/>
      </xsd:simpleType>
    </xsd:element>
    <xsd:element name="PublishingExpirationDate" ma:index="18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e1f775-eaa6-47b0-9d6d-ad06e653f86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משותף עם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משותף עם פרטים" ma:description="" ma:internalName="SharedWithDetails" ma:readOnly="true">
      <xsd:simpleType>
        <xsd:restriction base="dms:Note">
          <xsd:maxLength value="255"/>
        </xsd:restriction>
      </xsd:simpleType>
    </xsd:element>
    <xsd:element name="_dlc_DocId" ma:index="10" nillable="true" ma:displayName="ערך של מזהה מסמך" ma:description="הערך של מזהה המסמך שהוקצה לפריט זה." ma:internalName="_dlc_DocId" ma:readOnly="true">
      <xsd:simpleType>
        <xsd:restriction base="dms:Text"/>
      </xsd:simpleType>
    </xsd:element>
    <xsd:element name="_dlc_DocIdUrl" ma:index="11" nillable="true" ma:displayName="מזהה מסמך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2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25" nillable="true" ma:displayName="Taxonomy Catch All Column" ma:hidden="true" ma:list="{1bc719a7-b254-4059-ab55-c719bf0c65fb}" ma:internalName="TaxCatchAll" ma:showField="CatchAllData" ma:web="bae1f775-eaa6-47b0-9d6d-ad06e653f8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e2f3d0-1f4a-457b-a9a8-1887ba528e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5" nillable="true" ma:displayName="MediaServiceAutoTags" ma:description="" ma:internalName="MediaServiceAutoTags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Location" ma:index="19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2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4" nillable="true" ma:taxonomy="true" ma:internalName="lcf76f155ced4ddcb4097134ff3c332f" ma:taxonomyFieldName="MediaServiceImageTags" ma:displayName="תגיות תמונה" ma:readOnly="false" ma:fieldId="{5cf76f15-5ced-4ddc-b409-7134ff3c332f}" ma:taxonomyMulti="true" ma:sspId="e94772f5-1958-4fc2-861e-a26dbf18e9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ae1f775-eaa6-47b0-9d6d-ad06e653f861" xsi:nil="true"/>
    <lcf76f155ced4ddcb4097134ff3c332f xmlns="f8e2f3d0-1f4a-457b-a9a8-1887ba528e0d">
      <Terms xmlns="http://schemas.microsoft.com/office/infopath/2007/PartnerControls"/>
    </lcf76f155ced4ddcb4097134ff3c332f>
    <PublishingExpirationDate xmlns="http://schemas.microsoft.com/sharepoint/v3" xsi:nil="true"/>
    <PublishingStartDate xmlns="http://schemas.microsoft.com/sharepoint/v3" xsi:nil="true"/>
    <_dlc_DocId xmlns="bae1f775-eaa6-47b0-9d6d-ad06e653f861">WTPEKXXT5SUT-2102554853-13008</_dlc_DocId>
    <_dlc_DocIdUrl xmlns="bae1f775-eaa6-47b0-9d6d-ad06e653f861">
      <Url>https://yaelisrael.sharepoint.com/_layouts/15/DocIdRedir.aspx?ID=WTPEKXXT5SUT-2102554853-13008</Url>
      <Description>WTPEKXXT5SUT-2102554853-13008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A37277E-1E87-45A7-BD15-ADFC59DF9015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F7221F6A-6847-44E6-BDB7-4A45BA044C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ae1f775-eaa6-47b0-9d6d-ad06e653f861"/>
    <ds:schemaRef ds:uri="f8e2f3d0-1f4a-457b-a9a8-1887ba528e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BD60440-3B86-4CB7-A2B1-B04F7C0A0495}">
  <ds:schemaRefs>
    <ds:schemaRef ds:uri="http://purl.org/dc/elements/1.1/"/>
    <ds:schemaRef ds:uri="http://schemas.openxmlformats.org/package/2006/metadata/core-properties"/>
    <ds:schemaRef ds:uri="http://purl.org/dc/dcmitype/"/>
    <ds:schemaRef ds:uri="http://schemas.microsoft.com/office/2006/metadata/properties"/>
    <ds:schemaRef ds:uri="bae1f775-eaa6-47b0-9d6d-ad06e653f861"/>
    <ds:schemaRef ds:uri="http://www.w3.org/XML/1998/namespace"/>
    <ds:schemaRef ds:uri="f8e2f3d0-1f4a-457b-a9a8-1887ba528e0d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purl.org/dc/terms/"/>
  </ds:schemaRefs>
</ds:datastoreItem>
</file>

<file path=customXml/itemProps4.xml><?xml version="1.0" encoding="utf-8"?>
<ds:datastoreItem xmlns:ds="http://schemas.openxmlformats.org/officeDocument/2006/customXml" ds:itemID="{6290262C-324D-447C-ADDA-5D0F1754FE8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חשבוניות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Reut</dc:creator>
  <cp:lastModifiedBy>בועז אנגלנדר</cp:lastModifiedBy>
  <dcterms:created xsi:type="dcterms:W3CDTF">2026-02-03T07:03:38Z</dcterms:created>
  <dcterms:modified xsi:type="dcterms:W3CDTF">2026-02-07T16:14:54Z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0x01010079ADEC314A57B24D868FBD1B89B9EC83</vt:lpwstr>
  </property>
  <property fmtid="{D5CDD505-2E9C-101B-9397-08002B2CF9AE}" pid="3" name="_dlc_DocIdItemGuid">
    <vt:lpwstr>e1b53d28-73ab-44ca-ad63-6a19f7f8e6b1</vt:lpwstr>
  </property>
  <property fmtid="{D5CDD505-2E9C-101B-9397-08002B2CF9AE}" pid="4" name="MediaServiceImageTags">
    <vt:lpwstr/>
  </property>
</Properties>
</file>