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"/>
    </mc:Choice>
  </mc:AlternateContent>
  <xr:revisionPtr revIDLastSave="0" documentId="13_ncr:1_{D0129623-9274-4B82-A06F-BBDCDE73994A}" xr6:coauthVersionLast="47" xr6:coauthVersionMax="47" xr10:uidLastSave="{00000000-0000-0000-0000-000000000000}"/>
  <bookViews>
    <workbookView xWindow="-120" yWindow="-120" windowWidth="29040" windowHeight="17520" xr2:uid="{F7882DC7-3C36-42B4-9589-99FFA8E4CD68}"/>
  </bookViews>
  <sheets>
    <sheet name="חשבוניות" sheetId="4" r:id="rId1"/>
  </sheets>
  <externalReferences>
    <externalReference r:id="rId2"/>
  </externalReferences>
  <definedNames>
    <definedName name="_xlnm._FilterDatabase" localSheetId="0" hidden="1">חשבוניות!$D$2:$M$10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" l="1"/>
  <c r="L8" i="4"/>
  <c r="L9" i="4"/>
  <c r="L10" i="4"/>
  <c r="M6" i="4"/>
  <c r="M5" i="4"/>
  <c r="M4" i="4"/>
  <c r="M3" i="4"/>
</calcChain>
</file>

<file path=xl/sharedStrings.xml><?xml version="1.0" encoding="utf-8"?>
<sst xmlns="http://schemas.openxmlformats.org/spreadsheetml/2006/main" count="32" uniqueCount="23">
  <si>
    <t>פרטים</t>
  </si>
  <si>
    <t xml:space="preserve">סניף </t>
  </si>
  <si>
    <t>מספר לקוח פריוריטי</t>
  </si>
  <si>
    <t>סכום כולל מע"מ</t>
  </si>
  <si>
    <t>תאריך חשבונית</t>
  </si>
  <si>
    <t>מקט</t>
  </si>
  <si>
    <t>שם לקוח</t>
  </si>
  <si>
    <t>כמות</t>
  </si>
  <si>
    <t>סכום לפני מעמ</t>
  </si>
  <si>
    <t>מס</t>
  </si>
  <si>
    <t>תאור מוצר</t>
  </si>
  <si>
    <t>אורות גת אשקלון</t>
  </si>
  <si>
    <t>עכו מתקן התפלה</t>
  </si>
  <si>
    <t>רמת גן תרפ"ב</t>
  </si>
  <si>
    <t>015</t>
  </si>
  <si>
    <t>גל געש יזמות 2014 בע״מ</t>
  </si>
  <si>
    <t>106</t>
  </si>
  <si>
    <t>עבודות גמר חודש 1/26</t>
  </si>
  <si>
    <t>עבודות שלד חודש 1/26</t>
  </si>
  <si>
    <t>להכנה</t>
  </si>
  <si>
    <t xml:space="preserve">עובדים </t>
  </si>
  <si>
    <t xml:space="preserve">מגן אור אבטחה בע"מ </t>
  </si>
  <si>
    <t xml:space="preserve">עבור סיור בתל אביב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</si>
</sst>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C9872659-DE3C-4C82-B550-858BA167AD22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164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1495;&#1513;&#1489;&#1493;&#1504;&#1497;&#1493;&#1514;%20&#1500;&#1492;&#1508;&#1511;&#1492;.xlsx" TargetMode="External"/><Relationship Id="rId1" Type="http://schemas.openxmlformats.org/officeDocument/2006/relationships/externalLinkPath" Target="/Users/User/Downloads/&#1495;&#1513;&#1489;&#1493;&#1504;&#1497;&#1493;&#1514;%20&#1500;&#1492;&#1508;&#151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חשבוניות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FB1AF-42DE-4F2D-9FFC-C1F968D9EA7A}" name="Table1" displayName="Table1" ref="B2:M10" totalsRowShown="0" headerRowDxfId="7" headerRowCellStyle="Comma">
  <autoFilter ref="B2:M10" xr:uid="{2CAFB1AF-42DE-4F2D-9FFC-C1F968D9EA7A}"/>
  <tableColumns count="12">
    <tableColumn id="1" xr3:uid="{E4BCD5FA-3CE3-46A7-9C5D-87679EC5E96E}" name="מס"/>
    <tableColumn id="12" xr3:uid="{69D78BD5-7951-4337-B7DF-BFA85ABEFF86}" name="להכנה"/>
    <tableColumn id="2" xr3:uid="{D21822D3-CF90-4F22-8E4E-ED10F199C6FF}" name="תאריך חשבונית" dataDxfId="6"/>
    <tableColumn id="3" xr3:uid="{0A1A60C3-5789-4FBC-B7A7-DD4A216E2883}" name="פרטים"/>
    <tableColumn id="4" xr3:uid="{027EF1E1-BD51-4250-9C07-1692FF3C641B}" name="סניף " dataDxfId="5"/>
    <tableColumn id="5" xr3:uid="{7F02F0DC-BBA2-4D6E-A6FF-E280E31094D3}" name="מספר לקוח פריוריטי" dataDxfId="4"/>
    <tableColumn id="6" xr3:uid="{06A13D9B-A7C7-4646-B6AF-459E6CE143C4}" name="שם לקוח" dataDxfId="3"/>
    <tableColumn id="7" xr3:uid="{D4DC2AA9-AE28-4CD2-9B1A-E84508BAFA1F}" name="מקט" dataDxfId="2"/>
    <tableColumn id="11" xr3:uid="{9C030421-0280-4344-8A7D-6F338C2CE856}" name="תאור מוצר" dataDxfId="1"/>
    <tableColumn id="8" xr3:uid="{113995E6-A4A4-40D4-B55F-149014499DC9}" name="כמות"/>
    <tableColumn id="9" xr3:uid="{F4F78B81-E796-466B-9ED0-12255B03DDFA}" name="סכום לפני מעמ" dataDxfId="0" dataCellStyle="Comma">
      <calculatedColumnFormula>M3/1.18</calculatedColumnFormula>
    </tableColumn>
    <tableColumn id="10" xr3:uid="{CA04FF52-A709-4121-9424-D471EAAA4CF1}" name="סכום כולל מע&quot;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5EF-838F-413E-8A80-52D1F5590769}">
  <dimension ref="B2:M10"/>
  <sheetViews>
    <sheetView rightToLeft="1" tabSelected="1" zoomScale="130" zoomScaleNormal="130" workbookViewId="0">
      <selection activeCell="H6" sqref="H6"/>
    </sheetView>
  </sheetViews>
  <sheetFormatPr defaultRowHeight="15.75" x14ac:dyDescent="0.25"/>
  <cols>
    <col min="1" max="1" width="4.25" customWidth="1"/>
    <col min="4" max="4" width="22.375" style="11" customWidth="1"/>
    <col min="5" max="5" width="31.375" customWidth="1"/>
    <col min="6" max="6" width="6" style="4" customWidth="1"/>
    <col min="7" max="7" width="13.25" style="2" customWidth="1"/>
    <col min="8" max="8" width="19.125" style="2" bestFit="1" customWidth="1"/>
    <col min="9" max="9" width="9.875" style="6" customWidth="1"/>
    <col min="10" max="10" width="21.375" style="6" customWidth="1"/>
    <col min="11" max="11" width="10.875" customWidth="1"/>
    <col min="12" max="12" width="14.75" style="8" customWidth="1"/>
    <col min="13" max="13" width="14.25" customWidth="1"/>
  </cols>
  <sheetData>
    <row r="2" spans="2:13" s="1" customFormat="1" x14ac:dyDescent="0.25">
      <c r="B2" s="1" t="s">
        <v>9</v>
      </c>
      <c r="C2" s="1" t="s">
        <v>19</v>
      </c>
      <c r="D2" s="10" t="s">
        <v>4</v>
      </c>
      <c r="E2" s="1" t="s">
        <v>0</v>
      </c>
      <c r="F2" s="5" t="s">
        <v>1</v>
      </c>
      <c r="G2" s="3" t="s">
        <v>2</v>
      </c>
      <c r="H2" s="3" t="s">
        <v>6</v>
      </c>
      <c r="I2" s="7" t="s">
        <v>5</v>
      </c>
      <c r="J2" s="7" t="s">
        <v>10</v>
      </c>
      <c r="K2" s="1" t="s">
        <v>7</v>
      </c>
      <c r="L2" s="9" t="s">
        <v>8</v>
      </c>
      <c r="M2" s="1" t="s">
        <v>3</v>
      </c>
    </row>
    <row r="3" spans="2:13" x14ac:dyDescent="0.25">
      <c r="B3">
        <v>1</v>
      </c>
      <c r="C3">
        <v>0</v>
      </c>
      <c r="D3" s="11">
        <v>46052</v>
      </c>
      <c r="E3" t="s">
        <v>11</v>
      </c>
      <c r="F3" s="4" t="s">
        <v>14</v>
      </c>
      <c r="G3" s="2">
        <v>50844</v>
      </c>
      <c r="H3" s="2" t="s">
        <v>15</v>
      </c>
      <c r="I3" s="6" t="s">
        <v>16</v>
      </c>
      <c r="J3" t="s">
        <v>17</v>
      </c>
      <c r="K3">
        <v>1</v>
      </c>
      <c r="L3" s="8">
        <v>66800</v>
      </c>
      <c r="M3" s="12">
        <f>Table1[[#This Row],[סכום לפני מעמ]]*1.18</f>
        <v>78824</v>
      </c>
    </row>
    <row r="4" spans="2:13" x14ac:dyDescent="0.25">
      <c r="B4">
        <v>2</v>
      </c>
      <c r="C4">
        <v>0</v>
      </c>
      <c r="D4" s="11">
        <v>46052</v>
      </c>
      <c r="E4" t="s">
        <v>12</v>
      </c>
      <c r="F4" s="4" t="s">
        <v>14</v>
      </c>
      <c r="G4" s="2">
        <v>50844</v>
      </c>
      <c r="H4" s="2" t="s">
        <v>15</v>
      </c>
      <c r="I4" s="6" t="s">
        <v>16</v>
      </c>
      <c r="J4" t="s">
        <v>18</v>
      </c>
      <c r="K4">
        <v>1</v>
      </c>
      <c r="L4" s="8">
        <v>349085</v>
      </c>
      <c r="M4" s="12">
        <f>Table1[[#This Row],[סכום לפני מעמ]]*1.18</f>
        <v>411920.3</v>
      </c>
    </row>
    <row r="5" spans="2:13" x14ac:dyDescent="0.25">
      <c r="B5">
        <v>3</v>
      </c>
      <c r="C5">
        <v>0</v>
      </c>
      <c r="D5" s="11">
        <v>46052</v>
      </c>
      <c r="E5" t="s">
        <v>13</v>
      </c>
      <c r="F5" s="4" t="s">
        <v>14</v>
      </c>
      <c r="G5" s="2">
        <v>50844</v>
      </c>
      <c r="H5" s="2" t="s">
        <v>15</v>
      </c>
      <c r="I5" s="6" t="s">
        <v>16</v>
      </c>
      <c r="J5" t="s">
        <v>17</v>
      </c>
      <c r="K5">
        <v>1</v>
      </c>
      <c r="L5" s="8">
        <v>162574</v>
      </c>
      <c r="M5" s="12">
        <f>Table1[[#This Row],[סכום לפני מעמ]]*1.18</f>
        <v>191837.31999999998</v>
      </c>
    </row>
    <row r="6" spans="2:13" x14ac:dyDescent="0.25">
      <c r="B6">
        <v>5</v>
      </c>
      <c r="C6">
        <v>1</v>
      </c>
      <c r="D6" s="11">
        <v>46052</v>
      </c>
      <c r="E6" t="s">
        <v>20</v>
      </c>
      <c r="F6" s="4" t="s">
        <v>14</v>
      </c>
      <c r="H6" s="2" t="s">
        <v>21</v>
      </c>
      <c r="I6" s="6" t="s">
        <v>16</v>
      </c>
      <c r="J6" s="6" t="s">
        <v>22</v>
      </c>
      <c r="K6">
        <v>1</v>
      </c>
      <c r="L6" s="8">
        <v>125609</v>
      </c>
      <c r="M6" s="12">
        <f>[1]!Table1[[#This Row],[סכום לפני מעמ]]*1.18</f>
        <v>233640</v>
      </c>
    </row>
    <row r="7" spans="2:13" x14ac:dyDescent="0.25">
      <c r="L7" s="8">
        <f t="shared" ref="L7:L10" si="0">M7/1.18</f>
        <v>0</v>
      </c>
    </row>
    <row r="8" spans="2:13" x14ac:dyDescent="0.25">
      <c r="L8" s="8">
        <f t="shared" si="0"/>
        <v>0</v>
      </c>
    </row>
    <row r="9" spans="2:13" x14ac:dyDescent="0.25">
      <c r="L9" s="8">
        <f t="shared" si="0"/>
        <v>0</v>
      </c>
    </row>
    <row r="10" spans="2:13" x14ac:dyDescent="0.25">
      <c r="L10" s="8">
        <f t="shared" si="0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1f775-eaa6-47b0-9d6d-ad06e653f861" xsi:nil="true"/>
    <lcf76f155ced4ddcb4097134ff3c332f xmlns="f8e2f3d0-1f4a-457b-a9a8-1887ba528e0d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dlc_DocId xmlns="bae1f775-eaa6-47b0-9d6d-ad06e653f861">WTPEKXXT5SUT-2102554853-13008</_dlc_DocId>
    <_dlc_DocIdUrl xmlns="bae1f775-eaa6-47b0-9d6d-ad06e653f861">
      <Url>https://yaelisrael.sharepoint.com/_layouts/15/DocIdRedir.aspx?ID=WTPEKXXT5SUT-2102554853-13008</Url>
      <Description>WTPEKXXT5SUT-2102554853-13008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9ADEC314A57B24D868FBD1B89B9EC83" ma:contentTypeVersion="18" ma:contentTypeDescription="צור מסמך חדש." ma:contentTypeScope="" ma:versionID="97f78f6673f51417d450e29262b1e61c">
  <xsd:schema xmlns:xsd="http://www.w3.org/2001/XMLSchema" xmlns:xs="http://www.w3.org/2001/XMLSchema" xmlns:p="http://schemas.microsoft.com/office/2006/metadata/properties" xmlns:ns1="http://schemas.microsoft.com/sharepoint/v3" xmlns:ns2="bae1f775-eaa6-47b0-9d6d-ad06e653f861" xmlns:ns3="f8e2f3d0-1f4a-457b-a9a8-1887ba528e0d" targetNamespace="http://schemas.microsoft.com/office/2006/metadata/properties" ma:root="true" ma:fieldsID="264d4a48f82fed3214199a1c3baf6997" ns1:_="" ns2:_="" ns3:_="">
    <xsd:import namespace="http://schemas.microsoft.com/sharepoint/v3"/>
    <xsd:import namespace="bae1f775-eaa6-47b0-9d6d-ad06e653f861"/>
    <xsd:import namespace="f8e2f3d0-1f4a-457b-a9a8-1887ba528e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1:PublishingStartDate" minOccurs="0"/>
                <xsd:element ref="ns1:PublishingExpirationDate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7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18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1f775-eaa6-47b0-9d6d-ad06e653f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description="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1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1bc719a7-b254-4059-ab55-c719bf0c65fb}" ma:internalName="TaxCatchAll" ma:showField="CatchAllData" ma:web="bae1f775-eaa6-47b0-9d6d-ad06e653f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2f3d0-1f4a-457b-a9a8-1887ba528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תגיות תמונה" ma:readOnly="false" ma:fieldId="{5cf76f15-5ced-4ddc-b409-7134ff3c332f}" ma:taxonomyMulti="true" ma:sspId="e94772f5-1958-4fc2-861e-a26dbf18e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90262C-324D-447C-ADDA-5D0F1754FE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60440-3B86-4CB7-A2B1-B04F7C0A0495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bae1f775-eaa6-47b0-9d6d-ad06e653f861"/>
    <ds:schemaRef ds:uri="http://www.w3.org/XML/1998/namespace"/>
    <ds:schemaRef ds:uri="f8e2f3d0-1f4a-457b-a9a8-1887ba528e0d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7221F6A-6847-44E6-BDB7-4A45BA044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e1f775-eaa6-47b0-9d6d-ad06e653f861"/>
    <ds:schemaRef ds:uri="f8e2f3d0-1f4a-457b-a9a8-1887ba528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A37277E-1E87-45A7-BD15-ADFC59DF901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