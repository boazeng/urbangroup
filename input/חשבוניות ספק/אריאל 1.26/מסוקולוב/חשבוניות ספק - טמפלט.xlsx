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אריאל 1.26\מסוקולוב\"/>
    </mc:Choice>
  </mc:AlternateContent>
  <xr:revisionPtr revIDLastSave="0" documentId="13_ncr:1_{D29EF743-2997-459E-8536-D1ADD4CF6A1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6" i="1"/>
  <c r="N5" i="1"/>
  <c r="N4" i="1"/>
  <c r="N3" i="1"/>
</calcChain>
</file>

<file path=xl/sharedStrings.xml><?xml version="1.0" encoding="utf-8"?>
<sst xmlns="http://schemas.openxmlformats.org/spreadsheetml/2006/main" count="49" uniqueCount="36">
  <si>
    <t>מס</t>
  </si>
  <si>
    <t>שם קובץ חשבונית</t>
  </si>
  <si>
    <t>מספר עמוד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</si>
  <si>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</si>
  <si>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</si>
  <si>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</si>
  <si>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</si>
  <si>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</si>
  <si>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</si>
  <si>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</si>
  <si>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</si>
  <si>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</t>
  </si>
  <si>
    <t>סכום לפני מעמ2</t>
  </si>
  <si>
    <t>סכום כולל מע"מ</t>
  </si>
  <si>
    <t>IN264003000001</t>
  </si>
  <si>
    <t>102</t>
  </si>
  <si>
    <t>אספקת עובדי בנין</t>
  </si>
  <si>
    <t>שרותי כ"א - עובד כללי - לעבודות בניין</t>
  </si>
  <si>
    <t>600-1-102</t>
  </si>
  <si>
    <t>IN264003000002</t>
  </si>
  <si>
    <t>שרותים</t>
  </si>
  <si>
    <t>עובדים כללים ומנהלי עבודה לאתרים שונים</t>
  </si>
  <si>
    <t>IN264003000003</t>
  </si>
  <si>
    <t>אספקת עובדים לאתר</t>
  </si>
  <si>
    <t>שרותי כ"א - עובד כללי</t>
  </si>
  <si>
    <t>IN264003000005</t>
  </si>
  <si>
    <t>עובדים באתרי בנין שונים</t>
  </si>
  <si>
    <t>מנהלי עבודה ועוזרי בטיחות לאתרים של אשטרום</t>
  </si>
  <si>
    <t>071080484</t>
  </si>
  <si>
    <t>070019731</t>
  </si>
  <si>
    <t>074063691</t>
  </si>
  <si>
    <t>075061040</t>
  </si>
  <si>
    <t>62416-102</t>
  </si>
  <si>
    <t>IN264003000006</t>
  </si>
  <si>
    <t>075081488</t>
  </si>
  <si>
    <t>מנהלי עבודה לאתרים של אשטרום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</si>
</sst>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3" fillId="0" borderId="0" xfId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0" applyFill="1"/>
    <xf numFmtId="164" fontId="0" fillId="0" borderId="0" xfId="0" applyNumberFormat="1" applyFill="1"/>
    <xf numFmtId="49" fontId="0" fillId="0" borderId="0" xfId="0" applyNumberFormat="1" applyFill="1"/>
    <xf numFmtId="0" fontId="0" fillId="0" borderId="0" xfId="0" applyFill="1" applyAlignment="1">
      <alignment horizontal="right"/>
    </xf>
    <xf numFmtId="43" fontId="0" fillId="0" borderId="0" xfId="1" applyFont="1" applyFill="1"/>
  </cellXfs>
  <cellStyles count="3">
    <cellStyle name="Comma" xfId="1" builtinId="3"/>
    <cellStyle name="Normal" xfId="0" builtinId="0"/>
    <cellStyle name="Normal 2" xfId="2" xr:uid="{00000000-0005-0000-0000-000002000000}"/>
  </cellStyles>
  <dxfs count="16"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164" formatCode="d/m/yyyy"/>
      <fill>
        <patternFill>
          <bgColor auto="1"/>
        </patternFill>
      </fill>
    </dxf>
    <dxf>
      <numFmt numFmtId="164" formatCode="d/m/yyyy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O8" totalsRowShown="0" headerRowDxfId="15" dataDxfId="14" headerRowCellStyle="Comma">
  <autoFilter ref="B2:O8" xr:uid="{00000000-0009-0000-0100-000001000000}"/>
  <tableColumns count="14">
    <tableColumn id="1" xr3:uid="{00000000-0010-0000-0000-000001000000}" name="מס" dataDxfId="13"/>
    <tableColumn id="20" xr3:uid="{00000000-0010-0000-0000-000014000000}" name="שם קובץ חשבונית" dataDxfId="12"/>
    <tableColumn id="21" xr3:uid="{00000000-0010-0000-0000-000015000000}" name="מספר עמוד" dataDxfId="11"/>
    <tableColumn id="13" xr3:uid="{00000000-0010-0000-0000-00000D000000}" name="מספר ספק" dataDxfId="10"/>
    <tableColumn id="2" xr3:uid="{00000000-0010-0000-0000-000002000000}" name="תאריך חשבונית" dataDxfId="9"/>
    <tableColumn id="15" xr3:uid="{00000000-0010-0000-0000-00000F000000}" name="מספר חשבונית" dataDxfId="8"/>
    <tableColumn id="16" xr3:uid="{00000000-0010-0000-0000-000010000000}" name="סניף" dataDxfId="7"/>
    <tableColumn id="17" xr3:uid="{00000000-0010-0000-0000-000011000000}" name="פרטים" dataDxfId="6"/>
    <tableColumn id="18" xr3:uid="{00000000-0010-0000-0000-000012000000}" name="מספר הקצאה" dataDxfId="5"/>
    <tableColumn id="12" xr3:uid="{00000000-0010-0000-0000-00000C000000}" name="מקט" dataDxfId="4"/>
    <tableColumn id="3" xr3:uid="{00000000-0010-0000-0000-000003000000}" name="תאור המוצר" dataDxfId="3"/>
    <tableColumn id="4" xr3:uid="{00000000-0010-0000-0000-000004000000}" name="חשבון " dataDxfId="2"/>
    <tableColumn id="9" xr3:uid="{00000000-0010-0000-0000-000009000000}" name="סכום לפני מעמ2" dataDxfId="1" dataCellStyle="Comma">
      <calculatedColumnFormula>O3/1.18</calculatedColumnFormula>
    </tableColumn>
    <tableColumn id="10" xr3:uid="{00000000-0010-0000-0000-00000A000000}" name="סכום כולל מע&quot;מ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9"/>
  <sheetViews>
    <sheetView rightToLeft="1" tabSelected="1" topLeftCell="B1" zoomScale="130" zoomScaleNormal="130" workbookViewId="0">
      <selection activeCell="E7" sqref="E7"/>
    </sheetView>
  </sheetViews>
  <sheetFormatPr defaultRowHeight="15.75" x14ac:dyDescent="0.25"/>
  <cols>
    <col min="2" max="2" width="4.75" customWidth="1"/>
    <col min="3" max="3" width="11.25" customWidth="1"/>
    <col min="4" max="4" width="11.125" customWidth="1"/>
    <col min="5" max="5" width="12.125" customWidth="1"/>
    <col min="6" max="6" width="14.625" style="7" customWidth="1"/>
    <col min="7" max="7" width="17.25" style="2" customWidth="1"/>
    <col min="8" max="8" width="8.875" style="2" customWidth="1"/>
    <col min="9" max="9" width="18.125" style="2" customWidth="1"/>
    <col min="10" max="10" width="13.75" style="2" customWidth="1"/>
    <col min="11" max="11" width="8" style="2" customWidth="1"/>
    <col min="12" max="12" width="42.875" customWidth="1"/>
    <col min="13" max="13" width="10.625" style="2" customWidth="1"/>
    <col min="14" max="14" width="14.75" style="4" customWidth="1"/>
    <col min="15" max="15" width="14.25" customWidth="1"/>
  </cols>
  <sheetData>
    <row r="2" spans="2:15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3" t="s">
        <v>11</v>
      </c>
      <c r="N2" s="5" t="s">
        <v>12</v>
      </c>
      <c r="O2" s="1" t="s">
        <v>13</v>
      </c>
    </row>
    <row r="3" spans="2:15" x14ac:dyDescent="0.25">
      <c r="B3" s="9">
        <v>1</v>
      </c>
      <c r="C3" s="9"/>
      <c r="D3" s="9">
        <v>1</v>
      </c>
      <c r="E3" t="s">
        <v>32</v>
      </c>
      <c r="F3" s="10">
        <v>46052</v>
      </c>
      <c r="G3" s="2" t="s">
        <v>14</v>
      </c>
      <c r="H3" s="11" t="s">
        <v>15</v>
      </c>
      <c r="I3" s="11" t="s">
        <v>16</v>
      </c>
      <c r="J3" s="11" t="s">
        <v>31</v>
      </c>
      <c r="K3" s="11">
        <v>106</v>
      </c>
      <c r="L3" s="12" t="s">
        <v>17</v>
      </c>
      <c r="M3" s="11" t="s">
        <v>18</v>
      </c>
      <c r="N3" s="8">
        <f>O3/1.18</f>
        <v>58500</v>
      </c>
      <c r="O3" s="9">
        <v>69030</v>
      </c>
    </row>
    <row r="4" spans="2:15" x14ac:dyDescent="0.25">
      <c r="B4" s="9">
        <v>2</v>
      </c>
      <c r="C4" s="9"/>
      <c r="D4" s="9">
        <v>2</v>
      </c>
      <c r="E4" t="s">
        <v>32</v>
      </c>
      <c r="F4" s="10">
        <v>46052</v>
      </c>
      <c r="G4" s="2" t="s">
        <v>19</v>
      </c>
      <c r="H4" s="11" t="s">
        <v>15</v>
      </c>
      <c r="I4" s="11" t="s">
        <v>20</v>
      </c>
      <c r="J4" s="2" t="s">
        <v>29</v>
      </c>
      <c r="K4" s="11">
        <v>106</v>
      </c>
      <c r="L4" s="12" t="s">
        <v>21</v>
      </c>
      <c r="M4" s="11" t="s">
        <v>18</v>
      </c>
      <c r="N4" s="8">
        <f>O4/1.18</f>
        <v>100000</v>
      </c>
      <c r="O4" s="9">
        <v>118000</v>
      </c>
    </row>
    <row r="5" spans="2:15" x14ac:dyDescent="0.25">
      <c r="B5" s="9">
        <v>3</v>
      </c>
      <c r="C5" s="9"/>
      <c r="D5" s="9">
        <v>3</v>
      </c>
      <c r="E5" t="s">
        <v>32</v>
      </c>
      <c r="F5" s="10">
        <v>46052</v>
      </c>
      <c r="G5" s="2" t="s">
        <v>22</v>
      </c>
      <c r="H5" s="11" t="s">
        <v>15</v>
      </c>
      <c r="I5" s="11" t="s">
        <v>23</v>
      </c>
      <c r="J5" s="11" t="s">
        <v>28</v>
      </c>
      <c r="K5" s="11">
        <v>106</v>
      </c>
      <c r="L5" s="12" t="s">
        <v>24</v>
      </c>
      <c r="M5" s="11" t="s">
        <v>18</v>
      </c>
      <c r="N5" s="8">
        <f>O5/1.18</f>
        <v>225000</v>
      </c>
      <c r="O5" s="9">
        <v>265500</v>
      </c>
    </row>
    <row r="6" spans="2:15" x14ac:dyDescent="0.25">
      <c r="B6" s="9">
        <v>4</v>
      </c>
      <c r="C6" s="9"/>
      <c r="D6" s="9">
        <v>4</v>
      </c>
      <c r="E6" t="s">
        <v>32</v>
      </c>
      <c r="F6" s="10">
        <v>46052</v>
      </c>
      <c r="G6" s="2" t="s">
        <v>25</v>
      </c>
      <c r="H6" s="11" t="s">
        <v>15</v>
      </c>
      <c r="I6" s="11" t="s">
        <v>26</v>
      </c>
      <c r="J6" s="2" t="s">
        <v>30</v>
      </c>
      <c r="K6" s="11">
        <v>106</v>
      </c>
      <c r="L6" s="12" t="s">
        <v>27</v>
      </c>
      <c r="M6" s="11" t="s">
        <v>18</v>
      </c>
      <c r="N6" s="8">
        <f>O6/1.18</f>
        <v>185000</v>
      </c>
      <c r="O6" s="9">
        <v>218300</v>
      </c>
    </row>
    <row r="7" spans="2:15" x14ac:dyDescent="0.25">
      <c r="B7" s="9">
        <v>5</v>
      </c>
      <c r="C7" s="9"/>
      <c r="D7" s="9">
        <v>5</v>
      </c>
      <c r="E7" t="s">
        <v>32</v>
      </c>
      <c r="F7" s="10">
        <v>46052</v>
      </c>
      <c r="G7" s="2" t="s">
        <v>33</v>
      </c>
      <c r="H7" s="11" t="s">
        <v>15</v>
      </c>
      <c r="I7" s="11" t="s">
        <v>26</v>
      </c>
      <c r="J7" s="2" t="s">
        <v>34</v>
      </c>
      <c r="K7" s="11">
        <v>106</v>
      </c>
      <c r="L7" s="12" t="s">
        <v>35</v>
      </c>
      <c r="M7" s="11" t="s">
        <v>18</v>
      </c>
      <c r="N7" s="8">
        <v>245000</v>
      </c>
      <c r="O7" s="9">
        <v>289100</v>
      </c>
    </row>
    <row r="8" spans="2:15" x14ac:dyDescent="0.25">
      <c r="B8" s="13"/>
      <c r="C8" s="13"/>
      <c r="D8" s="13"/>
      <c r="E8" s="14"/>
      <c r="F8" s="14"/>
      <c r="G8" s="15"/>
      <c r="H8" s="15"/>
      <c r="I8" s="15"/>
      <c r="J8" s="15"/>
      <c r="K8" s="15"/>
      <c r="L8" s="16"/>
      <c r="M8" s="15"/>
      <c r="N8" s="17">
        <f>O8/1.18</f>
        <v>0</v>
      </c>
      <c r="O8" s="13"/>
    </row>
    <row r="9" spans="2:15" x14ac:dyDescent="0.25">
      <c r="J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2026-03-16T09:48:45Z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