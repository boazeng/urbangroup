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אריאל 1.26\מגרנד\"/>
    </mc:Choice>
  </mc:AlternateContent>
  <xr:revisionPtr revIDLastSave="0" documentId="13_ncr:1_{76FC9EC7-19CB-4E69-A1EE-13F13F52E56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6" i="1"/>
  <c r="N5" i="1"/>
  <c r="N4" i="1"/>
  <c r="N3" i="1"/>
</calcChain>
</file>

<file path=xl/sharedStrings.xml><?xml version="1.0" encoding="utf-8"?>
<sst xmlns="http://schemas.openxmlformats.org/spreadsheetml/2006/main" count="59" uniqueCount="37">
  <si>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</si>
  <si>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</si>
  <si>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</si>
  <si>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</si>
  <si>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</si>
  <si>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</si>
  <si>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</si>
  <si>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</si>
  <si>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</si>
  <si>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</si>
  <si>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</si>
  <si>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</si>
  <si>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</si>
  <si>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</si>
  <si>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102</t>
  </si>
  <si>
    <t>600-1-102</t>
  </si>
  <si>
    <t>שרותי כא</t>
  </si>
  <si>
    <t>60448-102</t>
  </si>
  <si>
    <t>IN264200000001</t>
  </si>
  <si>
    <t>שרותי כא אתרים שונים</t>
  </si>
  <si>
    <t>שרותי כ"א - מנהל עבודה (משמרות)</t>
  </si>
  <si>
    <t>IN264200000002</t>
  </si>
  <si>
    <t>שרותי כא 1.26</t>
  </si>
  <si>
    <t>063064713</t>
  </si>
  <si>
    <t>IN264200000004</t>
  </si>
  <si>
    <t>063026932</t>
  </si>
  <si>
    <t>שרותי כא באתרים השונים</t>
  </si>
  <si>
    <t>IN264200000008</t>
  </si>
  <si>
    <t>068022147</t>
  </si>
  <si>
    <t>שרותי כא חודש 1.26 - אתרים שונים של שפיר</t>
  </si>
  <si>
    <t>IN264200000010</t>
  </si>
  <si>
    <t>שירותי כח אדם 01.26</t>
  </si>
  <si>
    <t>069012357</t>
  </si>
  <si>
    <t>שרותי כ"א - אספקת עובדים</t>
  </si>
  <si>
    <t>30/01/26</t>
  </si>
  <si>
    <t>GRAND 1.26</t>
  </si>
  <si>
    <t>062088544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</si>
</sst>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7" totalsRowShown="0" headerRowDxfId="15" dataDxfId="14" headerRowCellStyle="Comma">
  <autoFilter ref="B2:O7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10"/>
    <tableColumn id="2" xr3:uid="{00000000-0010-0000-0000-000002000000}" name="תאריך חשבונית" dataDxfId="9"/>
    <tableColumn id="15" xr3:uid="{00000000-0010-0000-0000-00000F000000}" name="מספר חשבונית" dataDxfId="8"/>
    <tableColumn id="16" xr3:uid="{00000000-0010-0000-0000-000010000000}" name="סניף" dataDxfId="7"/>
    <tableColumn id="17" xr3:uid="{00000000-0010-0000-0000-000011000000}" name="פרטים" dataDxfId="6"/>
    <tableColumn id="18" xr3:uid="{00000000-0010-0000-0000-000012000000}" name="מספר הקצאה" dataDxfId="5"/>
    <tableColumn id="12" xr3:uid="{00000000-0010-0000-0000-00000C000000}" name="מקט" dataDxfId="4"/>
    <tableColumn id="3" xr3:uid="{00000000-0010-0000-0000-000003000000}" name="תאור המוצר" dataDxfId="3"/>
    <tableColumn id="4" xr3:uid="{00000000-0010-0000-0000-000004000000}" name="חשבון " dataDxfId="2"/>
    <tableColumn id="9" xr3:uid="{00000000-0010-0000-0000-000009000000}" name="סכום לפני מעמ2" dataDxfId="1" dataCellStyle="Comma">
      <calculatedColumnFormula>O3/1.18</calculatedColumnFormula>
    </tableColumn>
    <tableColumn id="10" xr3:uid="{00000000-0010-0000-0000-00000A000000}" name="סכום כולל מע&quot;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7"/>
  <sheetViews>
    <sheetView rightToLeft="1" tabSelected="1" topLeftCell="F1" zoomScale="130" zoomScaleNormal="130" workbookViewId="0">
      <selection activeCell="I14" sqref="I14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9.75" style="7" customWidth="1"/>
    <col min="7" max="7" width="20.875" style="2" customWidth="1"/>
    <col min="8" max="8" width="8.875" style="2" customWidth="1"/>
    <col min="9" max="9" width="20.5" style="2" customWidth="1"/>
    <col min="10" max="10" width="13.75" style="2" customWidth="1"/>
    <col min="11" max="11" width="10.5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>
        <v>1</v>
      </c>
      <c r="C3" t="s">
        <v>35</v>
      </c>
      <c r="D3">
        <v>1</v>
      </c>
      <c r="E3" s="7" t="s">
        <v>17</v>
      </c>
      <c r="F3" s="7" t="s">
        <v>34</v>
      </c>
      <c r="G3" s="2" t="s">
        <v>18</v>
      </c>
      <c r="H3" s="2" t="s">
        <v>14</v>
      </c>
      <c r="I3" s="2" t="s">
        <v>19</v>
      </c>
      <c r="J3" s="2" t="s">
        <v>36</v>
      </c>
      <c r="K3" s="2">
        <v>101</v>
      </c>
      <c r="L3" s="8" t="s">
        <v>20</v>
      </c>
      <c r="M3" s="2" t="s">
        <v>15</v>
      </c>
      <c r="N3" s="4">
        <f t="shared" ref="N3:N7" si="0">O3/1.18</f>
        <v>54000</v>
      </c>
      <c r="O3">
        <v>63720</v>
      </c>
    </row>
    <row r="4" spans="2:15" x14ac:dyDescent="0.25">
      <c r="B4">
        <v>2</v>
      </c>
      <c r="C4" t="s">
        <v>35</v>
      </c>
      <c r="D4">
        <v>2</v>
      </c>
      <c r="E4" s="7" t="s">
        <v>17</v>
      </c>
      <c r="F4" s="7" t="s">
        <v>34</v>
      </c>
      <c r="G4" s="2" t="s">
        <v>21</v>
      </c>
      <c r="H4" s="2" t="s">
        <v>14</v>
      </c>
      <c r="I4" s="2" t="s">
        <v>22</v>
      </c>
      <c r="J4" s="2" t="s">
        <v>23</v>
      </c>
      <c r="K4" s="2">
        <v>101</v>
      </c>
      <c r="L4" s="8" t="s">
        <v>20</v>
      </c>
      <c r="M4" s="2" t="s">
        <v>15</v>
      </c>
      <c r="N4" s="4">
        <f t="shared" si="0"/>
        <v>76500</v>
      </c>
      <c r="O4">
        <v>90270</v>
      </c>
    </row>
    <row r="5" spans="2:15" x14ac:dyDescent="0.25">
      <c r="B5">
        <v>3</v>
      </c>
      <c r="C5" t="s">
        <v>35</v>
      </c>
      <c r="D5">
        <v>3</v>
      </c>
      <c r="E5" s="7" t="s">
        <v>17</v>
      </c>
      <c r="F5" s="7" t="s">
        <v>34</v>
      </c>
      <c r="G5" s="2" t="s">
        <v>24</v>
      </c>
      <c r="H5" s="2" t="s">
        <v>14</v>
      </c>
      <c r="I5" s="2" t="s">
        <v>16</v>
      </c>
      <c r="J5" s="2" t="s">
        <v>25</v>
      </c>
      <c r="K5" s="2">
        <v>106</v>
      </c>
      <c r="L5" s="8" t="s">
        <v>26</v>
      </c>
      <c r="M5" s="2" t="s">
        <v>15</v>
      </c>
      <c r="N5" s="4">
        <f t="shared" si="0"/>
        <v>154000</v>
      </c>
      <c r="O5">
        <v>181720</v>
      </c>
    </row>
    <row r="6" spans="2:15" x14ac:dyDescent="0.25">
      <c r="B6">
        <v>4</v>
      </c>
      <c r="C6" t="s">
        <v>35</v>
      </c>
      <c r="D6">
        <v>4</v>
      </c>
      <c r="E6" s="7" t="s">
        <v>17</v>
      </c>
      <c r="F6" s="7" t="s">
        <v>34</v>
      </c>
      <c r="G6" s="2" t="s">
        <v>27</v>
      </c>
      <c r="H6" s="2" t="s">
        <v>14</v>
      </c>
      <c r="I6" s="2" t="s">
        <v>16</v>
      </c>
      <c r="J6" s="2" t="s">
        <v>28</v>
      </c>
      <c r="K6" s="2">
        <v>106</v>
      </c>
      <c r="L6" s="8" t="s">
        <v>29</v>
      </c>
      <c r="M6" s="2" t="s">
        <v>15</v>
      </c>
      <c r="N6" s="4">
        <f t="shared" si="0"/>
        <v>195000</v>
      </c>
      <c r="O6">
        <v>230100</v>
      </c>
    </row>
    <row r="7" spans="2:15" x14ac:dyDescent="0.25">
      <c r="B7">
        <v>5</v>
      </c>
      <c r="C7" t="s">
        <v>35</v>
      </c>
      <c r="D7">
        <v>5</v>
      </c>
      <c r="E7" s="7" t="s">
        <v>17</v>
      </c>
      <c r="F7" s="7" t="s">
        <v>34</v>
      </c>
      <c r="G7" s="2" t="s">
        <v>30</v>
      </c>
      <c r="H7" s="2" t="s">
        <v>14</v>
      </c>
      <c r="I7" s="2" t="s">
        <v>31</v>
      </c>
      <c r="J7" s="2" t="s">
        <v>32</v>
      </c>
      <c r="K7" s="2">
        <v>106</v>
      </c>
      <c r="L7" s="8" t="s">
        <v>33</v>
      </c>
      <c r="M7" s="2" t="s">
        <v>15</v>
      </c>
      <c r="N7" s="4">
        <f t="shared" si="0"/>
        <v>255000</v>
      </c>
      <c r="O7">
        <v>300900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2026-03-16T09:39:06Z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