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ariel 12.25\משולב\"/>
    </mc:Choice>
  </mc:AlternateContent>
  <xr:revisionPtr revIDLastSave="0" documentId="13_ncr:1_{F6B080A2-5D38-4F70-B605-A51B3908D6A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</calcChain>
</file>

<file path=xl/sharedStrings.xml><?xml version="1.0" encoding="utf-8"?>
<sst xmlns="http://schemas.openxmlformats.org/spreadsheetml/2006/main" count="46" uniqueCount="30">
  <si>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</si>
  <si>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</si>
  <si>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</si>
  <si>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</si>
  <si>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</si>
  <si>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</si>
  <si>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</si>
  <si>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</si>
  <si>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</si>
  <si>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</si>
  <si>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</si>
  <si>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</si>
  <si>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</si>
  <si>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</si>
  <si>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האורגים משולב</t>
  </si>
  <si>
    <t>50011</t>
  </si>
  <si>
    <t>עובדים באתרים שונים</t>
  </si>
  <si>
    <t>047053080</t>
  </si>
  <si>
    <t>50010</t>
  </si>
  <si>
    <t>שרותי כא</t>
  </si>
  <si>
    <t>047099656</t>
  </si>
  <si>
    <t>עבודים לאתרים השונים</t>
  </si>
  <si>
    <t>50012</t>
  </si>
  <si>
    <t>עובדים לאתרים שונים</t>
  </si>
  <si>
    <t>047073481</t>
  </si>
  <si>
    <t>047043788</t>
  </si>
  <si>
    <t>106</t>
  </si>
  <si>
    <t>שרותי כא לאתרים השונים</t>
  </si>
  <si>
    <t>102</t>
  </si>
  <si>
    <t>600-1-102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</si>
</sst>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6" totalsRowShown="0" headerRowDxfId="15" dataDxfId="14" headerRowCellStyle="Comma">
  <autoFilter ref="B2:O6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10"/>
    <tableColumn id="2" xr3:uid="{00000000-0010-0000-0000-000002000000}" name="תאריך חשבונית" dataDxfId="9"/>
    <tableColumn id="15" xr3:uid="{00000000-0010-0000-0000-00000F000000}" name="מספר חשבונית" dataDxfId="8"/>
    <tableColumn id="16" xr3:uid="{00000000-0010-0000-0000-000010000000}" name="סניף" dataDxfId="7"/>
    <tableColumn id="17" xr3:uid="{00000000-0010-0000-0000-000011000000}" name="פרטים" dataDxfId="6"/>
    <tableColumn id="18" xr3:uid="{00000000-0010-0000-0000-000012000000}" name="מספר הקצאה" dataDxfId="5"/>
    <tableColumn id="12" xr3:uid="{00000000-0010-0000-0000-00000C000000}" name="מקט" dataDxfId="4"/>
    <tableColumn id="3" xr3:uid="{00000000-0010-0000-0000-000003000000}" name="תאור המוצר" dataDxfId="3"/>
    <tableColumn id="4" xr3:uid="{00000000-0010-0000-0000-000004000000}" name="חשבון " dataDxfId="2"/>
    <tableColumn id="9" xr3:uid="{00000000-0010-0000-0000-000009000000}" name="סכום לפני מעמ2" dataDxfId="1" dataCellStyle="Comma">
      <calculatedColumnFormula>O3/1.18</calculatedColumnFormula>
    </tableColumn>
    <tableColumn id="10" xr3:uid="{00000000-0010-0000-0000-00000A000000}" name="סכום כולל מע&quot;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"/>
  <sheetViews>
    <sheetView rightToLeft="1" tabSelected="1" topLeftCell="F1" zoomScale="130" zoomScaleNormal="130" workbookViewId="0">
      <selection activeCell="O3" sqref="F3:O7"/>
    </sheetView>
  </sheetViews>
  <sheetFormatPr defaultRowHeight="15.75" x14ac:dyDescent="0.25"/>
  <cols>
    <col min="2" max="2" width="4.75" customWidth="1"/>
    <col min="3" max="3" width="19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9">
        <v>1</v>
      </c>
      <c r="C3" s="9" t="s">
        <v>14</v>
      </c>
      <c r="D3" s="9">
        <v>1</v>
      </c>
      <c r="E3" s="9">
        <v>60474</v>
      </c>
      <c r="F3" s="10">
        <v>46021</v>
      </c>
      <c r="G3" s="9" t="s">
        <v>15</v>
      </c>
      <c r="H3" s="11" t="s">
        <v>28</v>
      </c>
      <c r="I3" s="11" t="s">
        <v>16</v>
      </c>
      <c r="J3" s="9" t="s">
        <v>17</v>
      </c>
      <c r="K3" s="11" t="s">
        <v>26</v>
      </c>
      <c r="L3" s="12" t="s">
        <v>16</v>
      </c>
      <c r="M3" s="11" t="s">
        <v>29</v>
      </c>
      <c r="N3" s="8">
        <f>O3/1.18</f>
        <v>325000</v>
      </c>
      <c r="O3" s="9">
        <v>383500</v>
      </c>
    </row>
    <row r="4" spans="2:15" x14ac:dyDescent="0.25">
      <c r="B4" s="9">
        <v>2</v>
      </c>
      <c r="C4" s="9" t="s">
        <v>14</v>
      </c>
      <c r="D4" s="9">
        <v>2</v>
      </c>
      <c r="E4" s="9">
        <v>60474</v>
      </c>
      <c r="F4" s="10">
        <v>46021</v>
      </c>
      <c r="G4" s="9" t="s">
        <v>18</v>
      </c>
      <c r="H4" s="11" t="s">
        <v>28</v>
      </c>
      <c r="I4" s="11" t="s">
        <v>19</v>
      </c>
      <c r="J4" s="9" t="s">
        <v>20</v>
      </c>
      <c r="K4" s="11" t="s">
        <v>26</v>
      </c>
      <c r="L4" s="12" t="s">
        <v>21</v>
      </c>
      <c r="M4" s="11" t="s">
        <v>29</v>
      </c>
      <c r="N4" s="8">
        <f>O4/1.18</f>
        <v>325000</v>
      </c>
      <c r="O4" s="9">
        <v>383500</v>
      </c>
    </row>
    <row r="5" spans="2:15" x14ac:dyDescent="0.25">
      <c r="B5" s="9">
        <v>3</v>
      </c>
      <c r="C5" s="9" t="s">
        <v>14</v>
      </c>
      <c r="D5" s="9">
        <v>3</v>
      </c>
      <c r="E5" s="9">
        <v>60473</v>
      </c>
      <c r="F5" s="10">
        <v>46021</v>
      </c>
      <c r="G5" s="9" t="s">
        <v>22</v>
      </c>
      <c r="H5" s="11" t="s">
        <v>28</v>
      </c>
      <c r="I5" s="11" t="s">
        <v>23</v>
      </c>
      <c r="J5" s="9" t="s">
        <v>24</v>
      </c>
      <c r="K5" s="11" t="s">
        <v>26</v>
      </c>
      <c r="L5" s="12" t="s">
        <v>23</v>
      </c>
      <c r="M5" s="11" t="s">
        <v>29</v>
      </c>
      <c r="N5" s="8">
        <f>O5/1.18</f>
        <v>325000</v>
      </c>
      <c r="O5" s="9">
        <v>383500</v>
      </c>
    </row>
    <row r="6" spans="2:15" x14ac:dyDescent="0.25">
      <c r="B6" s="9">
        <v>4</v>
      </c>
      <c r="C6" s="9" t="s">
        <v>14</v>
      </c>
      <c r="D6" s="9">
        <v>4</v>
      </c>
      <c r="E6" s="9">
        <v>60473</v>
      </c>
      <c r="F6" s="10">
        <v>46021</v>
      </c>
      <c r="G6" s="9" t="s">
        <v>15</v>
      </c>
      <c r="H6" s="11" t="s">
        <v>28</v>
      </c>
      <c r="I6" s="11" t="s">
        <v>19</v>
      </c>
      <c r="J6" s="9" t="s">
        <v>25</v>
      </c>
      <c r="K6" s="11" t="s">
        <v>26</v>
      </c>
      <c r="L6" s="12" t="s">
        <v>27</v>
      </c>
      <c r="M6" s="11" t="s">
        <v>29</v>
      </c>
      <c r="N6" s="8">
        <f>O6/1.18</f>
        <v>325000</v>
      </c>
      <c r="O6" s="9">
        <v>383500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