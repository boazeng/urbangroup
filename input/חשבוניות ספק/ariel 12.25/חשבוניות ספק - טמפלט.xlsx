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Aiprojects\urbangroup\input\חשבוניות ספק\ariel 12.25\"/>
    </mc:Choice>
  </mc:AlternateContent>
  <xr:revisionPtr revIDLastSave="0" documentId="13_ncr:1_{3B4B8963-D240-4DC6-B42A-C6D03352A8D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חשבוניו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1" l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<sst xmlns="http://schemas.openxmlformats.org/spreadsheetml/2006/main" count="149" uniqueCount="64">
  <si>
    <t>מס</t>
  </si>
  <si>
    <t>שם קובץ חשבונית</t>
  </si>
  <si>
    <t>מספר עמוד</t>
  </si>
  <si>
    <t>מספר ספק</t>
  </si>
  <si>
    <t>תאריך חשבונית</t>
  </si>
  <si>
    <t>מספר חשבונית</t>
  </si>
  <si>
    <t>סניף</t>
  </si>
  <si>
    <t>פרטים</t>
  </si>
  <si>
    <t>מספר הקצאה</t>
  </si>
  <si>
    <t>מקט</t>
  </si>
  <si>
    <t>תאור המוצר</t>
  </si>
  <si>
    <t xml:space="preserve">חשבון </t>
  </si>
  <si>
    <t>סכום לפני מעמ2</t>
  </si>
  <si>
    <t>סכום כולל מע"מ</t>
  </si>
  <si>
    <t>merged</t>
  </si>
  <si>
    <t>015-25-1000093</t>
  </si>
  <si>
    <t>עובדים</t>
  </si>
  <si>
    <t>043053136</t>
  </si>
  <si>
    <t>106</t>
  </si>
  <si>
    <t>עובד כללי- שרותי כ"א</t>
  </si>
  <si>
    <t>015-25-1000092</t>
  </si>
  <si>
    <t>043028643</t>
  </si>
  <si>
    <t>015-25-1000091</t>
  </si>
  <si>
    <t>043025982</t>
  </si>
  <si>
    <t>שרותי כא</t>
  </si>
  <si>
    <t>015-25-1000090</t>
  </si>
  <si>
    <t>כא לאתרים השונים</t>
  </si>
  <si>
    <t>042051675</t>
  </si>
  <si>
    <t>015-25-1000079</t>
  </si>
  <si>
    <t>041044677</t>
  </si>
  <si>
    <t>עובדים לאתרים של ברוק אלטר, ושטיפה בעמק</t>
  </si>
  <si>
    <t>015-25-1000078</t>
  </si>
  <si>
    <t>041034662</t>
  </si>
  <si>
    <t>עובדים לאתרים של חברת יעלים</t>
  </si>
  <si>
    <t>015-25-1000077</t>
  </si>
  <si>
    <t>040098705</t>
  </si>
  <si>
    <t>יזם ר. נאם יזמות בע"מ לפי פירוט ניקיון רשלצ- שרותי כא</t>
  </si>
  <si>
    <t>015-25-1000076</t>
  </si>
  <si>
    <t>040072190</t>
  </si>
  <si>
    <t>מגדלי לייפ יזמקו ותנובה- עובדים אחזקת מבנים לגלוריקס</t>
  </si>
  <si>
    <t>015-25-1000075</t>
  </si>
  <si>
    <t>040052276</t>
  </si>
  <si>
    <t>(עובדים לגלוריקס אחזקת מבנים )מגדל, בסר סיטי ועוד</t>
  </si>
  <si>
    <t>015-25-1000074</t>
  </si>
  <si>
    <t>040059244</t>
  </si>
  <si>
    <t>עובדים לגלוריקס ניקיון באתרים שונים לפי פירוט</t>
  </si>
  <si>
    <t>015-25-1000073</t>
  </si>
  <si>
    <t>040021115</t>
  </si>
  <si>
    <t>(עובדים עבור חברת גלוריקס עפי פירוט )קניונים</t>
  </si>
  <si>
    <t>015-25-1000072</t>
  </si>
  <si>
    <t>039063292</t>
  </si>
  <si>
    <t>עובדים לחברת פקטור</t>
  </si>
  <si>
    <t>015-25-1000071</t>
  </si>
  <si>
    <t>039038915</t>
  </si>
  <si>
    <t>015-25-1000070</t>
  </si>
  <si>
    <t>036080851</t>
  </si>
  <si>
    <t>עובדים לאתרים שונים חברת פשובסקי</t>
  </si>
  <si>
    <t>015-25-1000069</t>
  </si>
  <si>
    <t>אספקת עובדים</t>
  </si>
  <si>
    <t>036047427</t>
  </si>
  <si>
    <t>אספקת עובדים לאתרים שונים של חברת שטרן</t>
  </si>
  <si>
    <t>600-1-102</t>
  </si>
  <si>
    <t>102</t>
  </si>
  <si>
    <t>60324-102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</si>
</sst>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3" fillId="0" borderId="0"/>
    <xf numFmtId="0" fontId="1" fillId="0" borderId="0"/>
  </cellStyleXfs>
  <cellXfs count="14">
    <xf numFmtId="0" fontId="0" fillId="0" borderId="0" xfId="0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43" fontId="0" fillId="0" borderId="0" xfId="1" applyFont="1"/>
    <xf numFmtId="43" fontId="2" fillId="0" borderId="0" xfId="1" applyFont="1"/>
    <xf numFmtId="164" fontId="2" fillId="0" borderId="0" xfId="0" applyNumberFormat="1" applyFont="1"/>
    <xf numFmtId="164" fontId="0" fillId="0" borderId="0" xfId="0" applyNumberFormat="1"/>
    <xf numFmtId="43" fontId="3" fillId="0" borderId="0" xfId="1"/>
    <xf numFmtId="0" fontId="3" fillId="0" borderId="0" xfId="0" applyFont="1"/>
    <xf numFmtId="164" fontId="3" fillId="0" borderId="0" xfId="0" applyNumberFormat="1" applyFont="1"/>
    <xf numFmtId="49" fontId="3" fillId="0" borderId="0" xfId="0" applyNumberFormat="1" applyFont="1"/>
    <xf numFmtId="0" fontId="3" fillId="0" borderId="0" xfId="0" applyFont="1" applyAlignment="1">
      <alignment horizontal="right"/>
    </xf>
    <xf numFmtId="0" fontId="0" fillId="0" borderId="1" xfId="0" applyBorder="1" applyAlignment="1">
      <alignment horizontal="right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16">
    <dxf>
      <numFmt numFmtId="164" formatCode="d/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numFmt numFmtId="30" formatCode="@"/>
      <fill>
        <patternFill patternType="none">
          <bgColor auto="1"/>
        </patternFill>
      </fill>
    </dxf>
    <dxf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30" formatCode="@"/>
      <fill>
        <patternFill patternType="none">
          <bgColor auto="1"/>
        </patternFill>
      </fill>
    </dxf>
    <dxf>
      <numFmt numFmtId="30" formatCode="@"/>
      <fill>
        <patternFill patternType="none">
          <bgColor auto="1"/>
        </patternFill>
      </fill>
    </dxf>
    <dxf>
      <numFmt numFmtId="30" formatCode="@"/>
      <fill>
        <patternFill patternType="none">
          <bgColor auto="1"/>
        </patternFill>
      </fill>
    </dxf>
    <dxf>
      <numFmt numFmtId="30" formatCode="@"/>
      <fill>
        <patternFill patternType="none">
          <bgColor auto="1"/>
        </patternFill>
      </fill>
    </dxf>
    <dxf>
      <numFmt numFmtId="30" formatCode="@"/>
      <fill>
        <patternFill patternType="none">
          <bgColor auto="1"/>
        </patternFill>
      </fill>
    </dxf>
    <dxf>
      <numFmt numFmtId="164" formatCode="d/m/yyyy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O17" totalsRowShown="0" headerRowDxfId="15" dataDxfId="14" headerRowCellStyle="Comma">
  <autoFilter ref="B2:O17" xr:uid="{00000000-0009-0000-0100-000001000000}"/>
  <tableColumns count="14">
    <tableColumn id="1" xr3:uid="{00000000-0010-0000-0000-000001000000}" name="מס" dataDxfId="13"/>
    <tableColumn id="20" xr3:uid="{00000000-0010-0000-0000-000014000000}" name="שם קובץ חשבונית" dataDxfId="12"/>
    <tableColumn id="21" xr3:uid="{00000000-0010-0000-0000-000015000000}" name="מספר עמוד" dataDxfId="11"/>
    <tableColumn id="13" xr3:uid="{00000000-0010-0000-0000-00000D000000}" name="מספר ספק" dataDxfId="0"/>
    <tableColumn id="2" xr3:uid="{00000000-0010-0000-0000-000002000000}" name="תאריך חשבונית" dataDxfId="10"/>
    <tableColumn id="15" xr3:uid="{00000000-0010-0000-0000-00000F000000}" name="מספר חשבונית" dataDxfId="9"/>
    <tableColumn id="16" xr3:uid="{00000000-0010-0000-0000-000010000000}" name="סניף" dataDxfId="8"/>
    <tableColumn id="17" xr3:uid="{00000000-0010-0000-0000-000011000000}" name="פרטים" dataDxfId="7"/>
    <tableColumn id="18" xr3:uid="{00000000-0010-0000-0000-000012000000}" name="מספר הקצאה" dataDxfId="6"/>
    <tableColumn id="12" xr3:uid="{00000000-0010-0000-0000-00000C000000}" name="מקט" dataDxfId="5"/>
    <tableColumn id="3" xr3:uid="{00000000-0010-0000-0000-000003000000}" name="תאור המוצר" dataDxfId="4"/>
    <tableColumn id="4" xr3:uid="{00000000-0010-0000-0000-000004000000}" name="חשבון " dataDxfId="3"/>
    <tableColumn id="9" xr3:uid="{00000000-0010-0000-0000-000009000000}" name="סכום לפני מעמ2" dataDxfId="2" dataCellStyle="Comma">
      <calculatedColumnFormula>O3/1.18</calculatedColumnFormula>
    </tableColumn>
    <tableColumn id="10" xr3:uid="{00000000-0010-0000-0000-00000A000000}" name="סכום כולל מע&quot;מ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7"/>
  <sheetViews>
    <sheetView rightToLeft="1" tabSelected="1" topLeftCell="E1" zoomScale="130" zoomScaleNormal="130" workbookViewId="0">
      <selection activeCell="N20" sqref="N20"/>
    </sheetView>
  </sheetViews>
  <sheetFormatPr defaultRowHeight="15.75" x14ac:dyDescent="0.25"/>
  <cols>
    <col min="2" max="2" width="4.75" customWidth="1"/>
    <col min="3" max="3" width="11.25" customWidth="1"/>
    <col min="4" max="4" width="11.125" customWidth="1"/>
    <col min="5" max="5" width="12.125" customWidth="1"/>
    <col min="6" max="6" width="14.625" style="7" customWidth="1"/>
    <col min="7" max="7" width="17.25" style="2" customWidth="1"/>
    <col min="8" max="8" width="8.875" style="2" customWidth="1"/>
    <col min="9" max="10" width="13.75" style="2" customWidth="1"/>
    <col min="11" max="11" width="8" style="2" customWidth="1"/>
    <col min="12" max="12" width="42.875" customWidth="1"/>
    <col min="13" max="13" width="10.625" style="2" customWidth="1"/>
    <col min="14" max="14" width="14.75" style="4" customWidth="1"/>
    <col min="15" max="15" width="14.25" customWidth="1"/>
  </cols>
  <sheetData>
    <row r="2" spans="2:15" s="1" customFormat="1" x14ac:dyDescent="0.25">
      <c r="B2" s="1" t="s">
        <v>0</v>
      </c>
      <c r="C2" s="1" t="s">
        <v>1</v>
      </c>
      <c r="D2" s="1" t="s">
        <v>2</v>
      </c>
      <c r="E2" s="1" t="s">
        <v>3</v>
      </c>
      <c r="F2" s="6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1" t="s">
        <v>10</v>
      </c>
      <c r="M2" s="3" t="s">
        <v>11</v>
      </c>
      <c r="N2" s="5" t="s">
        <v>12</v>
      </c>
      <c r="O2" s="1" t="s">
        <v>13</v>
      </c>
    </row>
    <row r="3" spans="2:15" x14ac:dyDescent="0.25">
      <c r="B3" s="9">
        <v>1</v>
      </c>
      <c r="C3" s="9" t="s">
        <v>14</v>
      </c>
      <c r="D3" s="9">
        <v>1</v>
      </c>
      <c r="E3" s="7" t="s">
        <v>63</v>
      </c>
      <c r="F3" s="10">
        <v>46021</v>
      </c>
      <c r="G3" s="9" t="s">
        <v>15</v>
      </c>
      <c r="H3" s="11" t="s">
        <v>62</v>
      </c>
      <c r="I3" s="11" t="s">
        <v>16</v>
      </c>
      <c r="J3" s="9" t="s">
        <v>17</v>
      </c>
      <c r="K3" s="11" t="s">
        <v>18</v>
      </c>
      <c r="L3" s="12" t="s">
        <v>19</v>
      </c>
      <c r="M3" s="11" t="s">
        <v>61</v>
      </c>
      <c r="N3" s="8">
        <f t="shared" ref="N3:N17" si="0">O3/1.18</f>
        <v>50000</v>
      </c>
      <c r="O3" s="9">
        <v>59000</v>
      </c>
    </row>
    <row r="4" spans="2:15" x14ac:dyDescent="0.25">
      <c r="B4" s="9">
        <v>2</v>
      </c>
      <c r="C4" s="9" t="s">
        <v>14</v>
      </c>
      <c r="D4" s="9">
        <v>2</v>
      </c>
      <c r="E4" s="7" t="s">
        <v>63</v>
      </c>
      <c r="F4" s="10">
        <v>46021</v>
      </c>
      <c r="G4" s="9" t="s">
        <v>20</v>
      </c>
      <c r="H4" s="11" t="s">
        <v>62</v>
      </c>
      <c r="I4" s="11" t="s">
        <v>16</v>
      </c>
      <c r="J4" s="9" t="s">
        <v>21</v>
      </c>
      <c r="K4" s="11" t="s">
        <v>18</v>
      </c>
      <c r="L4" s="12" t="s">
        <v>19</v>
      </c>
      <c r="M4" s="11" t="s">
        <v>61</v>
      </c>
      <c r="N4" s="8">
        <f t="shared" si="0"/>
        <v>195000</v>
      </c>
      <c r="O4" s="9">
        <v>230100</v>
      </c>
    </row>
    <row r="5" spans="2:15" x14ac:dyDescent="0.25">
      <c r="B5" s="9">
        <v>3</v>
      </c>
      <c r="C5" s="9" t="s">
        <v>14</v>
      </c>
      <c r="D5" s="9">
        <v>3</v>
      </c>
      <c r="E5" s="7" t="s">
        <v>63</v>
      </c>
      <c r="F5" s="10">
        <v>46021</v>
      </c>
      <c r="G5" s="9" t="s">
        <v>22</v>
      </c>
      <c r="H5" s="11" t="s">
        <v>62</v>
      </c>
      <c r="I5" s="11" t="s">
        <v>16</v>
      </c>
      <c r="J5" s="9" t="s">
        <v>23</v>
      </c>
      <c r="K5" s="11" t="s">
        <v>18</v>
      </c>
      <c r="L5" s="12" t="s">
        <v>24</v>
      </c>
      <c r="M5" s="11" t="s">
        <v>61</v>
      </c>
      <c r="N5" s="8">
        <f t="shared" si="0"/>
        <v>385000</v>
      </c>
      <c r="O5" s="9">
        <v>454300</v>
      </c>
    </row>
    <row r="6" spans="2:15" x14ac:dyDescent="0.25">
      <c r="B6" s="9">
        <v>4</v>
      </c>
      <c r="C6" s="9" t="s">
        <v>14</v>
      </c>
      <c r="D6" s="9">
        <v>4</v>
      </c>
      <c r="E6" s="7" t="s">
        <v>63</v>
      </c>
      <c r="F6" s="10">
        <v>46021</v>
      </c>
      <c r="G6" s="11" t="s">
        <v>25</v>
      </c>
      <c r="H6" s="11" t="s">
        <v>62</v>
      </c>
      <c r="I6" s="11" t="s">
        <v>26</v>
      </c>
      <c r="J6" s="11" t="s">
        <v>27</v>
      </c>
      <c r="K6" s="11" t="s">
        <v>18</v>
      </c>
      <c r="L6" s="13" t="s">
        <v>24</v>
      </c>
      <c r="M6" s="11" t="s">
        <v>61</v>
      </c>
      <c r="N6" s="4">
        <f t="shared" si="0"/>
        <v>367000</v>
      </c>
      <c r="O6" s="9">
        <v>433060</v>
      </c>
    </row>
    <row r="7" spans="2:15" x14ac:dyDescent="0.25">
      <c r="B7" s="9">
        <v>5</v>
      </c>
      <c r="C7" s="9" t="s">
        <v>14</v>
      </c>
      <c r="D7" s="9">
        <v>5</v>
      </c>
      <c r="E7" s="7" t="s">
        <v>63</v>
      </c>
      <c r="F7" s="10">
        <v>46021</v>
      </c>
      <c r="G7" s="11" t="s">
        <v>28</v>
      </c>
      <c r="H7" s="11" t="s">
        <v>62</v>
      </c>
      <c r="I7" s="11" t="s">
        <v>16</v>
      </c>
      <c r="J7" s="11" t="s">
        <v>29</v>
      </c>
      <c r="K7" s="11" t="s">
        <v>18</v>
      </c>
      <c r="L7" s="12" t="s">
        <v>30</v>
      </c>
      <c r="M7" s="11" t="s">
        <v>61</v>
      </c>
      <c r="N7" s="4">
        <f t="shared" si="0"/>
        <v>374402</v>
      </c>
      <c r="O7" s="9">
        <v>441794.36</v>
      </c>
    </row>
    <row r="8" spans="2:15" x14ac:dyDescent="0.25">
      <c r="B8" s="9">
        <v>6</v>
      </c>
      <c r="C8" s="9" t="s">
        <v>14</v>
      </c>
      <c r="D8" s="9">
        <v>6</v>
      </c>
      <c r="E8" s="7" t="s">
        <v>63</v>
      </c>
      <c r="F8" s="10">
        <v>46021</v>
      </c>
      <c r="G8" s="11" t="s">
        <v>31</v>
      </c>
      <c r="H8" s="11" t="s">
        <v>62</v>
      </c>
      <c r="I8" s="11" t="s">
        <v>16</v>
      </c>
      <c r="J8" s="11" t="s">
        <v>32</v>
      </c>
      <c r="K8" s="11" t="s">
        <v>18</v>
      </c>
      <c r="L8" s="12" t="s">
        <v>33</v>
      </c>
      <c r="M8" s="11" t="s">
        <v>61</v>
      </c>
      <c r="N8" s="4">
        <f t="shared" si="0"/>
        <v>340100</v>
      </c>
      <c r="O8" s="9">
        <v>401318</v>
      </c>
    </row>
    <row r="9" spans="2:15" x14ac:dyDescent="0.25">
      <c r="B9" s="9">
        <v>7</v>
      </c>
      <c r="C9" s="9" t="s">
        <v>14</v>
      </c>
      <c r="D9" s="9">
        <v>7</v>
      </c>
      <c r="E9" s="7" t="s">
        <v>63</v>
      </c>
      <c r="F9" s="10">
        <v>46021</v>
      </c>
      <c r="G9" s="11" t="s">
        <v>34</v>
      </c>
      <c r="H9" s="11" t="s">
        <v>62</v>
      </c>
      <c r="I9" s="11" t="s">
        <v>24</v>
      </c>
      <c r="J9" s="11" t="s">
        <v>35</v>
      </c>
      <c r="K9" s="11" t="s">
        <v>18</v>
      </c>
      <c r="L9" s="12" t="s">
        <v>36</v>
      </c>
      <c r="M9" s="11" t="s">
        <v>61</v>
      </c>
      <c r="N9" s="4">
        <f t="shared" si="0"/>
        <v>404143</v>
      </c>
      <c r="O9" s="9">
        <v>476888.74</v>
      </c>
    </row>
    <row r="10" spans="2:15" x14ac:dyDescent="0.25">
      <c r="B10" s="9">
        <v>8</v>
      </c>
      <c r="C10" s="9" t="s">
        <v>14</v>
      </c>
      <c r="D10" s="9">
        <v>8</v>
      </c>
      <c r="E10" s="7" t="s">
        <v>63</v>
      </c>
      <c r="F10" s="10">
        <v>46021</v>
      </c>
      <c r="G10" s="11" t="s">
        <v>37</v>
      </c>
      <c r="H10" s="11" t="s">
        <v>62</v>
      </c>
      <c r="I10" s="11" t="s">
        <v>16</v>
      </c>
      <c r="J10" s="11" t="s">
        <v>38</v>
      </c>
      <c r="K10" s="11" t="s">
        <v>18</v>
      </c>
      <c r="L10" s="12" t="s">
        <v>39</v>
      </c>
      <c r="M10" s="11" t="s">
        <v>61</v>
      </c>
      <c r="N10" s="4">
        <f t="shared" si="0"/>
        <v>272194</v>
      </c>
      <c r="O10" s="9">
        <v>321188.92</v>
      </c>
    </row>
    <row r="11" spans="2:15" x14ac:dyDescent="0.25">
      <c r="B11" s="9">
        <v>9</v>
      </c>
      <c r="C11" s="9" t="s">
        <v>14</v>
      </c>
      <c r="D11" s="9">
        <v>9</v>
      </c>
      <c r="E11" s="7" t="s">
        <v>63</v>
      </c>
      <c r="F11" s="10">
        <v>46021</v>
      </c>
      <c r="G11" s="11" t="s">
        <v>40</v>
      </c>
      <c r="H11" s="11" t="s">
        <v>62</v>
      </c>
      <c r="I11" s="11" t="s">
        <v>16</v>
      </c>
      <c r="J11" s="11" t="s">
        <v>41</v>
      </c>
      <c r="K11" s="11" t="s">
        <v>18</v>
      </c>
      <c r="L11" s="12" t="s">
        <v>42</v>
      </c>
      <c r="M11" s="11" t="s">
        <v>61</v>
      </c>
      <c r="N11" s="4">
        <f t="shared" si="0"/>
        <v>249223.00000000003</v>
      </c>
      <c r="O11" s="9">
        <v>294083.14</v>
      </c>
    </row>
    <row r="12" spans="2:15" x14ac:dyDescent="0.25">
      <c r="B12" s="9">
        <v>10</v>
      </c>
      <c r="C12" s="9" t="s">
        <v>14</v>
      </c>
      <c r="D12" s="9">
        <v>10</v>
      </c>
      <c r="E12" s="7" t="s">
        <v>63</v>
      </c>
      <c r="F12" s="10">
        <v>46021</v>
      </c>
      <c r="G12" s="11" t="s">
        <v>43</v>
      </c>
      <c r="H12" s="11" t="s">
        <v>62</v>
      </c>
      <c r="I12" s="11" t="s">
        <v>16</v>
      </c>
      <c r="J12" s="11" t="s">
        <v>44</v>
      </c>
      <c r="K12" s="11" t="s">
        <v>18</v>
      </c>
      <c r="L12" s="12" t="s">
        <v>45</v>
      </c>
      <c r="M12" s="11" t="s">
        <v>61</v>
      </c>
      <c r="N12" s="4">
        <f t="shared" si="0"/>
        <v>189837</v>
      </c>
      <c r="O12" s="9">
        <v>224007.66</v>
      </c>
    </row>
    <row r="13" spans="2:15" x14ac:dyDescent="0.25">
      <c r="B13" s="9">
        <v>11</v>
      </c>
      <c r="C13" s="9" t="s">
        <v>14</v>
      </c>
      <c r="D13" s="9">
        <v>11</v>
      </c>
      <c r="E13" s="7" t="s">
        <v>63</v>
      </c>
      <c r="F13" s="10">
        <v>46021</v>
      </c>
      <c r="G13" s="11" t="s">
        <v>46</v>
      </c>
      <c r="H13" s="11" t="s">
        <v>62</v>
      </c>
      <c r="I13" s="11" t="s">
        <v>16</v>
      </c>
      <c r="J13" s="11" t="s">
        <v>47</v>
      </c>
      <c r="K13" s="11" t="s">
        <v>18</v>
      </c>
      <c r="L13" s="12" t="s">
        <v>48</v>
      </c>
      <c r="M13" s="11" t="s">
        <v>61</v>
      </c>
      <c r="N13" s="4">
        <f t="shared" si="0"/>
        <v>217554</v>
      </c>
      <c r="O13" s="9">
        <v>256713.72</v>
      </c>
    </row>
    <row r="14" spans="2:15" x14ac:dyDescent="0.25">
      <c r="B14" s="9">
        <v>12</v>
      </c>
      <c r="C14" s="9" t="s">
        <v>14</v>
      </c>
      <c r="D14" s="9">
        <v>12</v>
      </c>
      <c r="E14" s="7" t="s">
        <v>63</v>
      </c>
      <c r="F14" s="10">
        <v>46021</v>
      </c>
      <c r="G14" s="11" t="s">
        <v>49</v>
      </c>
      <c r="H14" s="11" t="s">
        <v>62</v>
      </c>
      <c r="I14" s="11" t="s">
        <v>16</v>
      </c>
      <c r="J14" s="11" t="s">
        <v>50</v>
      </c>
      <c r="K14" s="11" t="s">
        <v>18</v>
      </c>
      <c r="L14" s="12" t="s">
        <v>51</v>
      </c>
      <c r="M14" s="11" t="s">
        <v>61</v>
      </c>
      <c r="N14" s="4">
        <f t="shared" si="0"/>
        <v>408443</v>
      </c>
      <c r="O14" s="9">
        <v>481962.74</v>
      </c>
    </row>
    <row r="15" spans="2:15" x14ac:dyDescent="0.25">
      <c r="B15" s="9">
        <v>13</v>
      </c>
      <c r="C15" s="9" t="s">
        <v>14</v>
      </c>
      <c r="D15" s="9">
        <v>13</v>
      </c>
      <c r="E15" s="7" t="s">
        <v>63</v>
      </c>
      <c r="F15" s="10">
        <v>46021</v>
      </c>
      <c r="G15" s="11" t="s">
        <v>52</v>
      </c>
      <c r="H15" s="11" t="s">
        <v>62</v>
      </c>
      <c r="I15" s="11" t="s">
        <v>16</v>
      </c>
      <c r="J15" s="11" t="s">
        <v>53</v>
      </c>
      <c r="K15" s="11" t="s">
        <v>18</v>
      </c>
      <c r="L15" s="12" t="s">
        <v>51</v>
      </c>
      <c r="M15" s="11" t="s">
        <v>61</v>
      </c>
      <c r="N15" s="4">
        <f t="shared" si="0"/>
        <v>269372.00000000006</v>
      </c>
      <c r="O15" s="9">
        <v>317858.96000000002</v>
      </c>
    </row>
    <row r="16" spans="2:15" x14ac:dyDescent="0.25">
      <c r="B16" s="9">
        <v>14</v>
      </c>
      <c r="C16" s="9" t="s">
        <v>14</v>
      </c>
      <c r="D16" s="9">
        <v>14</v>
      </c>
      <c r="E16" s="7" t="s">
        <v>63</v>
      </c>
      <c r="F16" s="10">
        <v>46021</v>
      </c>
      <c r="G16" s="11" t="s">
        <v>54</v>
      </c>
      <c r="H16" s="11" t="s">
        <v>62</v>
      </c>
      <c r="I16" s="11" t="s">
        <v>16</v>
      </c>
      <c r="J16" s="11" t="s">
        <v>55</v>
      </c>
      <c r="K16" s="11" t="s">
        <v>18</v>
      </c>
      <c r="L16" s="12" t="s">
        <v>56</v>
      </c>
      <c r="M16" s="11" t="s">
        <v>61</v>
      </c>
      <c r="N16" s="4">
        <f t="shared" si="0"/>
        <v>285000</v>
      </c>
      <c r="O16" s="9">
        <v>336300</v>
      </c>
    </row>
    <row r="17" spans="2:15" x14ac:dyDescent="0.25">
      <c r="B17" s="9">
        <v>15</v>
      </c>
      <c r="C17" s="9" t="s">
        <v>14</v>
      </c>
      <c r="D17" s="9">
        <v>15</v>
      </c>
      <c r="E17" s="7" t="s">
        <v>63</v>
      </c>
      <c r="F17" s="10">
        <v>46021</v>
      </c>
      <c r="G17" s="11" t="s">
        <v>57</v>
      </c>
      <c r="H17" s="11" t="s">
        <v>62</v>
      </c>
      <c r="I17" s="11" t="s">
        <v>58</v>
      </c>
      <c r="J17" s="11" t="s">
        <v>59</v>
      </c>
      <c r="K17" s="11" t="s">
        <v>18</v>
      </c>
      <c r="L17" s="12" t="s">
        <v>60</v>
      </c>
      <c r="M17" s="11" t="s">
        <v>61</v>
      </c>
      <c r="N17" s="4">
        <f t="shared" si="0"/>
        <v>243000</v>
      </c>
      <c r="O17" s="9">
        <v>286740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חשבוניות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</dc:creator>
  <cp:lastModifiedBy>בועז אנגלנדר</cp:lastModifiedBy>
  <dcterms:created xsi:type="dcterms:W3CDTF">2026-02-03T07:03:38Z</dcterms:created>
  <dcterms:modified xsi:type="dcterms:W3CDTF">2026-02-16T08:27:43Z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0x01010079ADEC314A57B24D868FBD1B89B9EC83</vt:lpwstr>
  </property>
  <property fmtid="{D5CDD505-2E9C-101B-9397-08002B2CF9AE}" pid="3" name="_dlc_DocIdItemGuid">
    <vt:lpwstr>e1b53d28-73ab-44ca-ad63-6a19f7f8e6b1</vt:lpwstr>
  </property>
  <property fmtid="{D5CDD505-2E9C-101B-9397-08002B2CF9AE}" pid="4" name="MediaServiceImageTags">
    <vt:lpwstr/>
  </property>
</Properties>
</file>