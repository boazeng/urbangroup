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bavli 21.25\5555555\"/>
    </mc:Choice>
  </mc:AlternateContent>
  <xr:revisionPtr revIDLastSave="0" documentId="13_ncr:1_{29D6403E-9448-46E0-8FE4-BC3936C4D01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6" i="1" l="1"/>
  <c r="P104" i="1"/>
  <c r="O104" i="1"/>
  <c r="R3" i="1"/>
</calcChain>
</file>

<file path=xl/sharedStrings.xml><?xml version="1.0" encoding="utf-8"?>
<sst xmlns="http://schemas.openxmlformats.org/spreadsheetml/2006/main" count="822" uniqueCount="226">
  <si>
    <t>מס</t>
  </si>
  <si>
    <t>שם קובץ חשבונית</t>
  </si>
  <si>
    <t>מספר עמוד</t>
  </si>
  <si>
    <t>חשבונית שנוצרה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</si>
  <si>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</si>
  <si>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</si>
  <si>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</si>
  <si>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</si>
  <si>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</si>
  <si>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</si>
  <si>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</si>
  <si>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</si>
  <si>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הוצאות </t>
  </si>
  <si>
    <t>סכום לפני מעמ2</t>
  </si>
  <si>
    <t>סכום כולל מע"מ</t>
  </si>
  <si>
    <t>5555555</t>
  </si>
  <si>
    <t>01/003477</t>
  </si>
  <si>
    <t>015</t>
  </si>
  <si>
    <t>עבודות ביטונים ואספקת חומרים ואספקת ברזל</t>
  </si>
  <si>
    <t>022030035</t>
  </si>
  <si>
    <t>000</t>
  </si>
  <si>
    <t>עבור עבודות ביטונים ואספקת חומרים ואספקת ברזל</t>
  </si>
  <si>
    <t>2112-015</t>
  </si>
  <si>
    <t>01/003478</t>
  </si>
  <si>
    <t>022026797</t>
  </si>
  <si>
    <t>01/003479</t>
  </si>
  <si>
    <t>022061340</t>
  </si>
  <si>
    <t>01/003507</t>
  </si>
  <si>
    <t>עבודות שיפוצים</t>
  </si>
  <si>
    <t>022078192</t>
  </si>
  <si>
    <t>עבור עבודות שיפוצים</t>
  </si>
  <si>
    <t>01/003508</t>
  </si>
  <si>
    <t>022029955</t>
  </si>
  <si>
    <t>01/003509</t>
  </si>
  <si>
    <t>022094372</t>
  </si>
  <si>
    <t>01/003510</t>
  </si>
  <si>
    <t>022040724</t>
  </si>
  <si>
    <t>01/003511</t>
  </si>
  <si>
    <t>022068949</t>
  </si>
  <si>
    <t>01/003512</t>
  </si>
  <si>
    <t>022081643</t>
  </si>
  <si>
    <t>01/003513</t>
  </si>
  <si>
    <t>022066816</t>
  </si>
  <si>
    <t>01/003514</t>
  </si>
  <si>
    <t>022075015</t>
  </si>
  <si>
    <t>01/003515</t>
  </si>
  <si>
    <t>022088911</t>
  </si>
  <si>
    <t>01/003516</t>
  </si>
  <si>
    <t>022088523</t>
  </si>
  <si>
    <t>01/003517</t>
  </si>
  <si>
    <t>022062605</t>
  </si>
  <si>
    <t>01/003518</t>
  </si>
  <si>
    <t>022076248</t>
  </si>
  <si>
    <t>01/003519</t>
  </si>
  <si>
    <t>022016824</t>
  </si>
  <si>
    <t>01/003520</t>
  </si>
  <si>
    <t>022046099</t>
  </si>
  <si>
    <t>01/003521</t>
  </si>
  <si>
    <t>022090553</t>
  </si>
  <si>
    <t>01/003522</t>
  </si>
  <si>
    <t>022050076</t>
  </si>
  <si>
    <t>01/003523</t>
  </si>
  <si>
    <t>022027970</t>
  </si>
  <si>
    <t>01/003524</t>
  </si>
  <si>
    <t>022090064</t>
  </si>
  <si>
    <t>01/003525</t>
  </si>
  <si>
    <t>022068066</t>
  </si>
  <si>
    <t>01/003526</t>
  </si>
  <si>
    <t>022086604</t>
  </si>
  <si>
    <t>01/003527</t>
  </si>
  <si>
    <t>022064605</t>
  </si>
  <si>
    <t>01/003528</t>
  </si>
  <si>
    <t>022036327</t>
  </si>
  <si>
    <t>01/003529</t>
  </si>
  <si>
    <t>022047851</t>
  </si>
  <si>
    <t>01/003530</t>
  </si>
  <si>
    <t>022056905</t>
  </si>
  <si>
    <t>01/003531</t>
  </si>
  <si>
    <t>022099683</t>
  </si>
  <si>
    <t>01/003532</t>
  </si>
  <si>
    <t>022073861</t>
  </si>
  <si>
    <t>01/003533</t>
  </si>
  <si>
    <t>022054414</t>
  </si>
  <si>
    <t>01/003534</t>
  </si>
  <si>
    <t>022011607</t>
  </si>
  <si>
    <t>01/003535</t>
  </si>
  <si>
    <t>022087893</t>
  </si>
  <si>
    <t>01/003536</t>
  </si>
  <si>
    <t>022067588</t>
  </si>
  <si>
    <t>01/003537</t>
  </si>
  <si>
    <t>022088704</t>
  </si>
  <si>
    <t>01/003538</t>
  </si>
  <si>
    <t>עבודות טייח וריצוף וצבע</t>
  </si>
  <si>
    <t>022036425</t>
  </si>
  <si>
    <t>עבור עבודות טייח וריצוף וצבע</t>
  </si>
  <si>
    <t>01/003539</t>
  </si>
  <si>
    <t>022097271</t>
  </si>
  <si>
    <t>01/003540</t>
  </si>
  <si>
    <t>022055062</t>
  </si>
  <si>
    <t>01/003541</t>
  </si>
  <si>
    <t>022037763</t>
  </si>
  <si>
    <t>01/003542</t>
  </si>
  <si>
    <t>022029569</t>
  </si>
  <si>
    <t>01/003543</t>
  </si>
  <si>
    <t>022074260</t>
  </si>
  <si>
    <t>01/003544</t>
  </si>
  <si>
    <t>022022381</t>
  </si>
  <si>
    <t>01/003545</t>
  </si>
  <si>
    <t>022021329</t>
  </si>
  <si>
    <t>01/003546</t>
  </si>
  <si>
    <t>022011306</t>
  </si>
  <si>
    <t>01/003547</t>
  </si>
  <si>
    <t>022097588</t>
  </si>
  <si>
    <t>01/003548</t>
  </si>
  <si>
    <t>022015752</t>
  </si>
  <si>
    <t>01/003549</t>
  </si>
  <si>
    <t>022087547</t>
  </si>
  <si>
    <t>01/003550</t>
  </si>
  <si>
    <t>022059015</t>
  </si>
  <si>
    <t>01/003551</t>
  </si>
  <si>
    <t>022054732</t>
  </si>
  <si>
    <t>01/003552</t>
  </si>
  <si>
    <t>01/003553</t>
  </si>
  <si>
    <t>022057300</t>
  </si>
  <si>
    <t>01/003554</t>
  </si>
  <si>
    <t>022056447</t>
  </si>
  <si>
    <t>01/003555</t>
  </si>
  <si>
    <t>022095299</t>
  </si>
  <si>
    <t>01/003556</t>
  </si>
  <si>
    <t>022060439</t>
  </si>
  <si>
    <t>01/003557</t>
  </si>
  <si>
    <t>022018930</t>
  </si>
  <si>
    <t>01/003558</t>
  </si>
  <si>
    <t>022052807</t>
  </si>
  <si>
    <t>01/003559</t>
  </si>
  <si>
    <t>022050707</t>
  </si>
  <si>
    <t>01/003560</t>
  </si>
  <si>
    <t>022047675</t>
  </si>
  <si>
    <t>01/003561</t>
  </si>
  <si>
    <t>022022212</t>
  </si>
  <si>
    <t>01/003562</t>
  </si>
  <si>
    <t>022075387</t>
  </si>
  <si>
    <t>01/003563</t>
  </si>
  <si>
    <t>022051628</t>
  </si>
  <si>
    <t>01/003564</t>
  </si>
  <si>
    <t>022032592</t>
  </si>
  <si>
    <t>01/003565</t>
  </si>
  <si>
    <t>022069108</t>
  </si>
  <si>
    <t>01/003566</t>
  </si>
  <si>
    <t>022096626</t>
  </si>
  <si>
    <t>01/003567</t>
  </si>
  <si>
    <t>022083351</t>
  </si>
  <si>
    <t>01/003568</t>
  </si>
  <si>
    <t>022069561</t>
  </si>
  <si>
    <t>01/003569</t>
  </si>
  <si>
    <t>022097341</t>
  </si>
  <si>
    <t>01/003570</t>
  </si>
  <si>
    <t>022019845</t>
  </si>
  <si>
    <t>01/003571</t>
  </si>
  <si>
    <t>022015371</t>
  </si>
  <si>
    <t>01/003572</t>
  </si>
  <si>
    <t>022080914</t>
  </si>
  <si>
    <t>01/003573</t>
  </si>
  <si>
    <t>022034026</t>
  </si>
  <si>
    <t>01/003574</t>
  </si>
  <si>
    <t>022098229</t>
  </si>
  <si>
    <t>01/003575</t>
  </si>
  <si>
    <t>022084553</t>
  </si>
  <si>
    <t>01/003576</t>
  </si>
  <si>
    <t>022040836</t>
  </si>
  <si>
    <t>01/003577</t>
  </si>
  <si>
    <t>022037930</t>
  </si>
  <si>
    <t>01/003578</t>
  </si>
  <si>
    <t>022044534</t>
  </si>
  <si>
    <t>01/003579</t>
  </si>
  <si>
    <t>022068819</t>
  </si>
  <si>
    <t>01/003580</t>
  </si>
  <si>
    <t>022064064</t>
  </si>
  <si>
    <t>01/003581</t>
  </si>
  <si>
    <t>022042828</t>
  </si>
  <si>
    <t>01/003582</t>
  </si>
  <si>
    <t>022099869</t>
  </si>
  <si>
    <t>01/003583</t>
  </si>
  <si>
    <t>022011489</t>
  </si>
  <si>
    <t>01/003584</t>
  </si>
  <si>
    <t>022036365</t>
  </si>
  <si>
    <t>01/003585</t>
  </si>
  <si>
    <t>022070591</t>
  </si>
  <si>
    <t>01/003586</t>
  </si>
  <si>
    <t>022064527</t>
  </si>
  <si>
    <t>01/003587</t>
  </si>
  <si>
    <t>022083978</t>
  </si>
  <si>
    <t>01/003588</t>
  </si>
  <si>
    <t>022023423</t>
  </si>
  <si>
    <t>01/003589</t>
  </si>
  <si>
    <t>022031235</t>
  </si>
  <si>
    <t>01/003590</t>
  </si>
  <si>
    <t>022024105</t>
  </si>
  <si>
    <t>01/003591</t>
  </si>
  <si>
    <t>022068939</t>
  </si>
  <si>
    <t>01/003592</t>
  </si>
  <si>
    <t>022018232</t>
  </si>
  <si>
    <t>01/003593</t>
  </si>
  <si>
    <t>022027502</t>
  </si>
  <si>
    <t>01/003594</t>
  </si>
  <si>
    <t>022041322</t>
  </si>
  <si>
    <t>01/003595</t>
  </si>
  <si>
    <t>022054861</t>
  </si>
  <si>
    <t>01/003596</t>
  </si>
  <si>
    <t>022040694</t>
  </si>
  <si>
    <t>01/003597</t>
  </si>
  <si>
    <t>022018596</t>
  </si>
  <si>
    <t>01/003598</t>
  </si>
  <si>
    <t>022092986</t>
  </si>
  <si>
    <t>01/003599</t>
  </si>
  <si>
    <t>022010761</t>
  </si>
  <si>
    <t>01/003600</t>
  </si>
  <si>
    <t>022073804</t>
  </si>
  <si>
    <t>01/003601</t>
  </si>
  <si>
    <t>022077590</t>
  </si>
  <si>
    <t>01/003602</t>
  </si>
  <si>
    <t>022096722</t>
  </si>
  <si>
    <t>01/003603</t>
  </si>
  <si>
    <t>022049407</t>
  </si>
  <si>
    <t>01/003604</t>
  </si>
  <si>
    <t>022029809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</si>
</sst>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0" fillId="2" borderId="0" xfId="0" applyFill="1"/>
    <xf numFmtId="0" fontId="0" fillId="0" borderId="0" xfId="0" applyAlignment="1">
      <alignment horizontal="right"/>
    </xf>
    <xf numFmtId="2" fontId="2" fillId="0" borderId="0" xfId="0" applyNumberFormat="1" applyFont="1"/>
    <xf numFmtId="2" fontId="3" fillId="0" borderId="0" xfId="0" applyNumberFormat="1" applyFont="1"/>
    <xf numFmtId="2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32">
    <dxf>
      <numFmt numFmtId="2" formatCode="0.00"/>
      <fill>
        <patternFill patternType="none">
          <fgColor indexed="64"/>
          <bgColor indexed="65"/>
        </patternFill>
      </fill>
    </dxf>
    <dxf>
      <numFmt numFmtId="2" formatCode="0.00"/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>
          <bgColor auto="1"/>
        </patternFill>
      </fill>
      <alignment horizontal="right" vertical="bottom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>
          <bgColor auto="1"/>
        </patternFill>
      </fill>
    </dxf>
    <dxf>
      <numFmt numFmtId="164" formatCode="d/m/yyyy"/>
      <fill>
        <patternFill patternType="none">
          <fgColor indexed="64"/>
          <bgColor indexed="65"/>
        </patternFill>
      </fill>
    </dxf>
    <dxf>
      <numFmt numFmtId="164" formatCode="d/m/yyyy"/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indexed="65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P104" totalsRowCount="1" headerRowDxfId="31" dataDxfId="30" headerRowCellStyle="Comma">
  <autoFilter ref="B2:P103" xr:uid="{00000000-0009-0000-0100-000001000000}"/>
  <tableColumns count="15">
    <tableColumn id="1" xr3:uid="{00000000-0010-0000-0000-000001000000}" name="מס" dataDxfId="29" totalsRowDxfId="28"/>
    <tableColumn id="20" xr3:uid="{00000000-0010-0000-0000-000014000000}" name="שם קובץ חשבונית" dataDxfId="27" totalsRowDxfId="26"/>
    <tableColumn id="21" xr3:uid="{00000000-0010-0000-0000-000015000000}" name="מספר עמוד" dataDxfId="25" totalsRowDxfId="24"/>
    <tableColumn id="5" xr3:uid="{00000000-0010-0000-0000-000005000000}" name="חשבונית שנוצרה" dataDxfId="23" totalsRowDxfId="22"/>
    <tableColumn id="13" xr3:uid="{00000000-0010-0000-0000-00000D000000}" name="מספר ספק" dataDxfId="21" totalsRowDxfId="20"/>
    <tableColumn id="2" xr3:uid="{00000000-0010-0000-0000-000002000000}" name="תאריך חשבונית" dataDxfId="19" totalsRowDxfId="18"/>
    <tableColumn id="15" xr3:uid="{00000000-0010-0000-0000-00000F000000}" name="מספר חשבונית" dataDxfId="17" totalsRowDxfId="16"/>
    <tableColumn id="16" xr3:uid="{00000000-0010-0000-0000-000010000000}" name="סניף" dataDxfId="15" totalsRowDxfId="14"/>
    <tableColumn id="17" xr3:uid="{00000000-0010-0000-0000-000011000000}" name="פרטים" dataDxfId="13" totalsRowDxfId="12"/>
    <tableColumn id="18" xr3:uid="{00000000-0010-0000-0000-000012000000}" name="מספר הקצאה" dataDxfId="11" totalsRowDxfId="10"/>
    <tableColumn id="12" xr3:uid="{00000000-0010-0000-0000-00000C000000}" name="מקט" dataDxfId="9" totalsRowDxfId="8"/>
    <tableColumn id="3" xr3:uid="{00000000-0010-0000-0000-000003000000}" name="תאור המוצר" dataDxfId="7" totalsRowDxfId="6"/>
    <tableColumn id="4" xr3:uid="{00000000-0010-0000-0000-000004000000}" name="חשבון הוצאות " dataDxfId="5" totalsRowDxfId="4"/>
    <tableColumn id="9" xr3:uid="{00000000-0010-0000-0000-000009000000}" name="סכום לפני מעמ2" totalsRowFunction="sum" dataDxfId="3" totalsRowDxfId="2" dataCellStyle="Comma" totalsRowCellStyle="Comma">
      <calculatedColumnFormula>P3/1.18</calculatedColumnFormula>
    </tableColumn>
    <tableColumn id="10" xr3:uid="{00000000-0010-0000-0000-00000A000000}" name="סכום כולל מע&quot;מ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6"/>
  <sheetViews>
    <sheetView rightToLeft="1" tabSelected="1" topLeftCell="C82" zoomScale="130" zoomScaleNormal="130" workbookViewId="0">
      <selection activeCell="P106" sqref="P106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4.625" customWidth="1"/>
    <col min="6" max="6" width="12.125" customWidth="1"/>
    <col min="7" max="7" width="17.875" style="7" customWidth="1"/>
    <col min="8" max="8" width="17.25" style="2" customWidth="1"/>
    <col min="9" max="9" width="8.875" style="2" customWidth="1"/>
    <col min="10" max="11" width="13.75" style="2" customWidth="1"/>
    <col min="12" max="12" width="8" style="2" customWidth="1"/>
    <col min="13" max="13" width="42.875" customWidth="1"/>
    <col min="14" max="14" width="10.625" style="2" customWidth="1"/>
    <col min="15" max="15" width="14.75" style="4" customWidth="1"/>
    <col min="16" max="16" width="14.25" style="17" customWidth="1"/>
    <col min="18" max="18" width="12.125" customWidth="1"/>
  </cols>
  <sheetData>
    <row r="2" spans="2:18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6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1" t="s">
        <v>11</v>
      </c>
      <c r="N2" s="3" t="s">
        <v>12</v>
      </c>
      <c r="O2" s="5" t="s">
        <v>13</v>
      </c>
      <c r="P2" s="15" t="s">
        <v>14</v>
      </c>
    </row>
    <row r="3" spans="2:18" x14ac:dyDescent="0.25">
      <c r="B3" s="9">
        <v>1</v>
      </c>
      <c r="C3" s="9" t="s">
        <v>15</v>
      </c>
      <c r="D3" s="9">
        <v>1</v>
      </c>
      <c r="E3" s="9"/>
      <c r="F3" s="9">
        <v>60471</v>
      </c>
      <c r="G3" s="10">
        <v>46022</v>
      </c>
      <c r="H3" s="9" t="s">
        <v>16</v>
      </c>
      <c r="I3" s="11" t="s">
        <v>17</v>
      </c>
      <c r="J3" s="11" t="s">
        <v>18</v>
      </c>
      <c r="K3" s="9" t="s">
        <v>19</v>
      </c>
      <c r="L3" s="11" t="s">
        <v>20</v>
      </c>
      <c r="M3" s="12" t="s">
        <v>21</v>
      </c>
      <c r="N3" s="11" t="s">
        <v>22</v>
      </c>
      <c r="O3" s="8">
        <v>10000</v>
      </c>
      <c r="P3" s="16">
        <v>11800</v>
      </c>
      <c r="R3">
        <f>Table1[[#This Row],[סכום כולל מע"מ]]-Table1[[#This Row],[סכום כולל מע"מ]]</f>
        <v>0</v>
      </c>
    </row>
    <row r="4" spans="2:18" x14ac:dyDescent="0.25">
      <c r="B4" s="9">
        <v>2</v>
      </c>
      <c r="C4" s="9" t="s">
        <v>15</v>
      </c>
      <c r="D4" s="9">
        <v>2</v>
      </c>
      <c r="E4" s="9"/>
      <c r="F4" s="9">
        <v>60471</v>
      </c>
      <c r="G4" s="10">
        <v>46022</v>
      </c>
      <c r="H4" s="9" t="s">
        <v>23</v>
      </c>
      <c r="I4" s="11" t="s">
        <v>17</v>
      </c>
      <c r="J4" s="11" t="s">
        <v>18</v>
      </c>
      <c r="K4" s="9" t="s">
        <v>24</v>
      </c>
      <c r="L4" s="11" t="s">
        <v>20</v>
      </c>
      <c r="M4" s="12" t="s">
        <v>21</v>
      </c>
      <c r="N4" s="11" t="s">
        <v>22</v>
      </c>
      <c r="O4" s="8">
        <v>10000</v>
      </c>
      <c r="P4" s="16">
        <v>11800</v>
      </c>
    </row>
    <row r="5" spans="2:18" x14ac:dyDescent="0.25">
      <c r="B5">
        <v>3</v>
      </c>
      <c r="C5" t="s">
        <v>15</v>
      </c>
      <c r="D5">
        <v>3</v>
      </c>
      <c r="E5" s="13"/>
      <c r="F5">
        <v>60471</v>
      </c>
      <c r="G5" s="7">
        <v>46022</v>
      </c>
      <c r="H5" s="2" t="s">
        <v>25</v>
      </c>
      <c r="I5" s="2" t="s">
        <v>17</v>
      </c>
      <c r="J5" s="2" t="s">
        <v>18</v>
      </c>
      <c r="K5" s="2" t="s">
        <v>26</v>
      </c>
      <c r="L5" s="2" t="s">
        <v>20</v>
      </c>
      <c r="M5" s="14" t="s">
        <v>21</v>
      </c>
      <c r="N5" s="2" t="s">
        <v>22</v>
      </c>
      <c r="O5" s="4">
        <v>10000</v>
      </c>
      <c r="P5" s="16">
        <v>11800</v>
      </c>
    </row>
    <row r="6" spans="2:18" x14ac:dyDescent="0.25">
      <c r="B6">
        <v>4</v>
      </c>
      <c r="C6" t="s">
        <v>15</v>
      </c>
      <c r="D6">
        <v>4</v>
      </c>
      <c r="E6" s="13"/>
      <c r="F6">
        <v>60471</v>
      </c>
      <c r="G6" s="7">
        <v>46022</v>
      </c>
      <c r="H6" s="2" t="s">
        <v>27</v>
      </c>
      <c r="I6" s="2" t="s">
        <v>17</v>
      </c>
      <c r="J6" s="2" t="s">
        <v>28</v>
      </c>
      <c r="K6" s="2" t="s">
        <v>29</v>
      </c>
      <c r="L6" s="2" t="s">
        <v>20</v>
      </c>
      <c r="M6" s="14" t="s">
        <v>30</v>
      </c>
      <c r="N6" s="2" t="s">
        <v>22</v>
      </c>
      <c r="O6" s="4">
        <v>10000</v>
      </c>
      <c r="P6" s="17">
        <v>11800</v>
      </c>
    </row>
    <row r="7" spans="2:18" x14ac:dyDescent="0.25">
      <c r="B7">
        <v>5</v>
      </c>
      <c r="C7" t="s">
        <v>15</v>
      </c>
      <c r="D7">
        <v>5</v>
      </c>
      <c r="E7" s="13"/>
      <c r="F7">
        <v>60471</v>
      </c>
      <c r="G7" s="7">
        <v>46022</v>
      </c>
      <c r="H7" s="2" t="s">
        <v>31</v>
      </c>
      <c r="I7" s="2" t="s">
        <v>17</v>
      </c>
      <c r="J7" s="2" t="s">
        <v>28</v>
      </c>
      <c r="K7" s="2" t="s">
        <v>32</v>
      </c>
      <c r="L7" s="2" t="s">
        <v>20</v>
      </c>
      <c r="M7" s="14" t="s">
        <v>30</v>
      </c>
      <c r="N7" s="2" t="s">
        <v>22</v>
      </c>
      <c r="O7" s="4">
        <v>10000</v>
      </c>
      <c r="P7" s="17">
        <v>11800</v>
      </c>
    </row>
    <row r="8" spans="2:18" x14ac:dyDescent="0.25">
      <c r="B8">
        <v>6</v>
      </c>
      <c r="C8" t="s">
        <v>15</v>
      </c>
      <c r="D8">
        <v>6</v>
      </c>
      <c r="E8" s="13"/>
      <c r="F8">
        <v>60471</v>
      </c>
      <c r="G8" s="7">
        <v>46022</v>
      </c>
      <c r="H8" s="2" t="s">
        <v>33</v>
      </c>
      <c r="I8" s="2" t="s">
        <v>17</v>
      </c>
      <c r="J8" s="2" t="s">
        <v>28</v>
      </c>
      <c r="K8" s="2" t="s">
        <v>34</v>
      </c>
      <c r="L8" s="2" t="s">
        <v>20</v>
      </c>
      <c r="M8" s="14" t="s">
        <v>30</v>
      </c>
      <c r="N8" s="2" t="s">
        <v>22</v>
      </c>
      <c r="O8" s="4">
        <v>10000</v>
      </c>
      <c r="P8" s="17">
        <v>11800</v>
      </c>
    </row>
    <row r="9" spans="2:18" x14ac:dyDescent="0.25">
      <c r="B9">
        <v>7</v>
      </c>
      <c r="C9" t="s">
        <v>15</v>
      </c>
      <c r="D9">
        <v>7</v>
      </c>
      <c r="E9" s="13"/>
      <c r="F9">
        <v>60471</v>
      </c>
      <c r="G9" s="7">
        <v>46022</v>
      </c>
      <c r="H9" s="2" t="s">
        <v>35</v>
      </c>
      <c r="I9" s="2" t="s">
        <v>17</v>
      </c>
      <c r="J9" s="2" t="s">
        <v>28</v>
      </c>
      <c r="K9" s="2" t="s">
        <v>36</v>
      </c>
      <c r="L9" s="2" t="s">
        <v>20</v>
      </c>
      <c r="M9" s="14" t="s">
        <v>30</v>
      </c>
      <c r="N9" s="2" t="s">
        <v>22</v>
      </c>
      <c r="O9" s="4">
        <v>10000</v>
      </c>
      <c r="P9" s="17">
        <v>11800</v>
      </c>
    </row>
    <row r="10" spans="2:18" x14ac:dyDescent="0.25">
      <c r="B10">
        <v>8</v>
      </c>
      <c r="C10" t="s">
        <v>15</v>
      </c>
      <c r="D10">
        <v>8</v>
      </c>
      <c r="E10" s="13"/>
      <c r="F10">
        <v>60471</v>
      </c>
      <c r="G10" s="7">
        <v>46022</v>
      </c>
      <c r="H10" s="2" t="s">
        <v>37</v>
      </c>
      <c r="I10" s="2" t="s">
        <v>17</v>
      </c>
      <c r="J10" s="2" t="s">
        <v>28</v>
      </c>
      <c r="K10" s="2" t="s">
        <v>38</v>
      </c>
      <c r="L10" s="2" t="s">
        <v>20</v>
      </c>
      <c r="M10" s="14" t="s">
        <v>30</v>
      </c>
      <c r="N10" s="2" t="s">
        <v>22</v>
      </c>
      <c r="O10" s="4">
        <v>10000</v>
      </c>
      <c r="P10" s="17">
        <v>11800</v>
      </c>
    </row>
    <row r="11" spans="2:18" x14ac:dyDescent="0.25">
      <c r="B11">
        <v>9</v>
      </c>
      <c r="C11" t="s">
        <v>15</v>
      </c>
      <c r="D11">
        <v>9</v>
      </c>
      <c r="E11" s="13"/>
      <c r="F11">
        <v>60471</v>
      </c>
      <c r="G11" s="7">
        <v>46022</v>
      </c>
      <c r="H11" s="2" t="s">
        <v>39</v>
      </c>
      <c r="I11" s="2" t="s">
        <v>17</v>
      </c>
      <c r="J11" s="2" t="s">
        <v>28</v>
      </c>
      <c r="K11" s="2" t="s">
        <v>40</v>
      </c>
      <c r="L11" s="2" t="s">
        <v>20</v>
      </c>
      <c r="M11" s="14" t="s">
        <v>30</v>
      </c>
      <c r="N11" s="2" t="s">
        <v>22</v>
      </c>
      <c r="O11" s="4">
        <v>10000</v>
      </c>
      <c r="P11" s="17">
        <v>11800</v>
      </c>
    </row>
    <row r="12" spans="2:18" x14ac:dyDescent="0.25">
      <c r="B12">
        <v>10</v>
      </c>
      <c r="C12" t="s">
        <v>15</v>
      </c>
      <c r="D12">
        <v>10</v>
      </c>
      <c r="E12" s="13"/>
      <c r="F12">
        <v>60471</v>
      </c>
      <c r="G12" s="7">
        <v>46022</v>
      </c>
      <c r="H12" s="2" t="s">
        <v>41</v>
      </c>
      <c r="I12" s="2" t="s">
        <v>17</v>
      </c>
      <c r="J12" s="2" t="s">
        <v>28</v>
      </c>
      <c r="K12" s="2" t="s">
        <v>42</v>
      </c>
      <c r="L12" s="2" t="s">
        <v>20</v>
      </c>
      <c r="M12" s="14" t="s">
        <v>30</v>
      </c>
      <c r="N12" s="2" t="s">
        <v>22</v>
      </c>
      <c r="O12" s="4">
        <v>10000</v>
      </c>
      <c r="P12" s="17">
        <v>11800</v>
      </c>
    </row>
    <row r="13" spans="2:18" x14ac:dyDescent="0.25">
      <c r="B13">
        <v>11</v>
      </c>
      <c r="C13" t="s">
        <v>15</v>
      </c>
      <c r="D13">
        <v>11</v>
      </c>
      <c r="E13" s="13"/>
      <c r="F13">
        <v>60471</v>
      </c>
      <c r="G13" s="7">
        <v>46022</v>
      </c>
      <c r="H13" s="2" t="s">
        <v>43</v>
      </c>
      <c r="I13" s="2" t="s">
        <v>17</v>
      </c>
      <c r="J13" s="2" t="s">
        <v>28</v>
      </c>
      <c r="K13" s="2" t="s">
        <v>44</v>
      </c>
      <c r="L13" s="2" t="s">
        <v>20</v>
      </c>
      <c r="M13" s="14" t="s">
        <v>30</v>
      </c>
      <c r="N13" s="2" t="s">
        <v>22</v>
      </c>
      <c r="O13" s="4">
        <v>10000</v>
      </c>
      <c r="P13" s="17">
        <v>11800</v>
      </c>
    </row>
    <row r="14" spans="2:18" x14ac:dyDescent="0.25">
      <c r="B14">
        <v>12</v>
      </c>
      <c r="C14" t="s">
        <v>15</v>
      </c>
      <c r="D14">
        <v>12</v>
      </c>
      <c r="E14" s="13"/>
      <c r="F14">
        <v>60471</v>
      </c>
      <c r="G14" s="7">
        <v>46022</v>
      </c>
      <c r="H14" s="2" t="s">
        <v>45</v>
      </c>
      <c r="I14" s="2" t="s">
        <v>17</v>
      </c>
      <c r="J14" s="2" t="s">
        <v>28</v>
      </c>
      <c r="K14" s="2" t="s">
        <v>46</v>
      </c>
      <c r="L14" s="2" t="s">
        <v>20</v>
      </c>
      <c r="M14" s="14" t="s">
        <v>30</v>
      </c>
      <c r="N14" s="2" t="s">
        <v>22</v>
      </c>
      <c r="O14" s="4">
        <v>10000</v>
      </c>
      <c r="P14" s="17">
        <v>11800</v>
      </c>
    </row>
    <row r="15" spans="2:18" x14ac:dyDescent="0.25">
      <c r="B15">
        <v>13</v>
      </c>
      <c r="C15" t="s">
        <v>15</v>
      </c>
      <c r="D15">
        <v>13</v>
      </c>
      <c r="E15" s="13"/>
      <c r="F15">
        <v>60471</v>
      </c>
      <c r="G15" s="7">
        <v>46022</v>
      </c>
      <c r="H15" s="2" t="s">
        <v>47</v>
      </c>
      <c r="I15" s="2" t="s">
        <v>17</v>
      </c>
      <c r="J15" s="2" t="s">
        <v>28</v>
      </c>
      <c r="K15" s="2" t="s">
        <v>48</v>
      </c>
      <c r="L15" s="2" t="s">
        <v>20</v>
      </c>
      <c r="M15" s="14" t="s">
        <v>30</v>
      </c>
      <c r="N15" s="2" t="s">
        <v>22</v>
      </c>
      <c r="O15" s="4">
        <v>10000</v>
      </c>
      <c r="P15" s="17">
        <v>11800</v>
      </c>
    </row>
    <row r="16" spans="2:18" x14ac:dyDescent="0.25">
      <c r="B16">
        <v>14</v>
      </c>
      <c r="C16" t="s">
        <v>15</v>
      </c>
      <c r="D16">
        <v>14</v>
      </c>
      <c r="E16" s="13"/>
      <c r="F16">
        <v>60471</v>
      </c>
      <c r="G16" s="7">
        <v>46022</v>
      </c>
      <c r="H16" s="2" t="s">
        <v>49</v>
      </c>
      <c r="I16" s="2" t="s">
        <v>17</v>
      </c>
      <c r="J16" s="2" t="s">
        <v>28</v>
      </c>
      <c r="K16" s="2" t="s">
        <v>50</v>
      </c>
      <c r="L16" s="2" t="s">
        <v>20</v>
      </c>
      <c r="M16" s="14" t="s">
        <v>30</v>
      </c>
      <c r="N16" s="2" t="s">
        <v>22</v>
      </c>
      <c r="O16" s="4">
        <v>10000</v>
      </c>
      <c r="P16" s="17">
        <v>11800</v>
      </c>
    </row>
    <row r="17" spans="2:16" x14ac:dyDescent="0.25">
      <c r="B17">
        <v>15</v>
      </c>
      <c r="C17" t="s">
        <v>15</v>
      </c>
      <c r="D17">
        <v>15</v>
      </c>
      <c r="E17" s="13"/>
      <c r="F17">
        <v>60471</v>
      </c>
      <c r="G17" s="7">
        <v>46022</v>
      </c>
      <c r="H17" s="2" t="s">
        <v>51</v>
      </c>
      <c r="I17" s="2" t="s">
        <v>17</v>
      </c>
      <c r="J17" s="2" t="s">
        <v>28</v>
      </c>
      <c r="K17" s="2" t="s">
        <v>52</v>
      </c>
      <c r="L17" s="2" t="s">
        <v>20</v>
      </c>
      <c r="M17" s="14" t="s">
        <v>30</v>
      </c>
      <c r="N17" s="2" t="s">
        <v>22</v>
      </c>
      <c r="O17" s="4">
        <v>10000</v>
      </c>
      <c r="P17" s="17">
        <v>11800</v>
      </c>
    </row>
    <row r="18" spans="2:16" x14ac:dyDescent="0.25">
      <c r="B18">
        <v>16</v>
      </c>
      <c r="C18" t="s">
        <v>15</v>
      </c>
      <c r="D18">
        <v>16</v>
      </c>
      <c r="E18" s="13"/>
      <c r="F18">
        <v>60471</v>
      </c>
      <c r="G18" s="7">
        <v>46022</v>
      </c>
      <c r="H18" s="2" t="s">
        <v>53</v>
      </c>
      <c r="I18" s="2" t="s">
        <v>17</v>
      </c>
      <c r="J18" s="2" t="s">
        <v>28</v>
      </c>
      <c r="K18" s="2" t="s">
        <v>54</v>
      </c>
      <c r="L18" s="2" t="s">
        <v>20</v>
      </c>
      <c r="M18" s="14" t="s">
        <v>30</v>
      </c>
      <c r="N18" s="2" t="s">
        <v>22</v>
      </c>
      <c r="O18" s="4">
        <v>10000</v>
      </c>
      <c r="P18" s="17">
        <v>11800</v>
      </c>
    </row>
    <row r="19" spans="2:16" x14ac:dyDescent="0.25">
      <c r="B19">
        <v>17</v>
      </c>
      <c r="C19" t="s">
        <v>15</v>
      </c>
      <c r="D19">
        <v>17</v>
      </c>
      <c r="E19" s="13"/>
      <c r="F19">
        <v>60471</v>
      </c>
      <c r="G19" s="7">
        <v>46022</v>
      </c>
      <c r="H19" s="2" t="s">
        <v>55</v>
      </c>
      <c r="I19" s="2" t="s">
        <v>17</v>
      </c>
      <c r="J19" s="2" t="s">
        <v>28</v>
      </c>
      <c r="K19" s="2" t="s">
        <v>56</v>
      </c>
      <c r="L19" s="2" t="s">
        <v>20</v>
      </c>
      <c r="M19" s="14" t="s">
        <v>30</v>
      </c>
      <c r="N19" s="2" t="s">
        <v>22</v>
      </c>
      <c r="O19" s="4">
        <v>10000</v>
      </c>
      <c r="P19" s="17">
        <v>11800</v>
      </c>
    </row>
    <row r="20" spans="2:16" x14ac:dyDescent="0.25">
      <c r="B20">
        <v>18</v>
      </c>
      <c r="C20" t="s">
        <v>15</v>
      </c>
      <c r="D20">
        <v>18</v>
      </c>
      <c r="E20" s="13"/>
      <c r="F20">
        <v>60471</v>
      </c>
      <c r="G20" s="7">
        <v>46022</v>
      </c>
      <c r="H20" s="2" t="s">
        <v>57</v>
      </c>
      <c r="I20" s="2" t="s">
        <v>17</v>
      </c>
      <c r="J20" s="2" t="s">
        <v>28</v>
      </c>
      <c r="K20" s="2" t="s">
        <v>58</v>
      </c>
      <c r="L20" s="2" t="s">
        <v>20</v>
      </c>
      <c r="M20" s="14" t="s">
        <v>30</v>
      </c>
      <c r="N20" s="2" t="s">
        <v>22</v>
      </c>
      <c r="O20" s="4">
        <v>10000</v>
      </c>
      <c r="P20" s="17">
        <v>11800</v>
      </c>
    </row>
    <row r="21" spans="2:16" x14ac:dyDescent="0.25">
      <c r="B21">
        <v>19</v>
      </c>
      <c r="C21" t="s">
        <v>15</v>
      </c>
      <c r="D21">
        <v>19</v>
      </c>
      <c r="E21" s="13"/>
      <c r="F21">
        <v>60471</v>
      </c>
      <c r="G21" s="7">
        <v>46022</v>
      </c>
      <c r="H21" s="2" t="s">
        <v>59</v>
      </c>
      <c r="I21" s="2" t="s">
        <v>17</v>
      </c>
      <c r="J21" s="2" t="s">
        <v>28</v>
      </c>
      <c r="K21" s="2" t="s">
        <v>60</v>
      </c>
      <c r="L21" s="2" t="s">
        <v>20</v>
      </c>
      <c r="M21" s="14" t="s">
        <v>30</v>
      </c>
      <c r="N21" s="2" t="s">
        <v>22</v>
      </c>
      <c r="O21" s="4">
        <v>10000</v>
      </c>
      <c r="P21" s="17">
        <v>11800</v>
      </c>
    </row>
    <row r="22" spans="2:16" x14ac:dyDescent="0.25">
      <c r="B22">
        <v>20</v>
      </c>
      <c r="C22" t="s">
        <v>15</v>
      </c>
      <c r="D22">
        <v>20</v>
      </c>
      <c r="E22" s="13"/>
      <c r="F22">
        <v>60471</v>
      </c>
      <c r="G22" s="7">
        <v>46022</v>
      </c>
      <c r="H22" s="2" t="s">
        <v>61</v>
      </c>
      <c r="I22" s="2" t="s">
        <v>17</v>
      </c>
      <c r="J22" s="2" t="s">
        <v>28</v>
      </c>
      <c r="K22" s="2" t="s">
        <v>62</v>
      </c>
      <c r="L22" s="2" t="s">
        <v>20</v>
      </c>
      <c r="M22" s="14" t="s">
        <v>30</v>
      </c>
      <c r="N22" s="2" t="s">
        <v>22</v>
      </c>
      <c r="O22" s="4">
        <v>10000</v>
      </c>
      <c r="P22" s="17">
        <v>11800</v>
      </c>
    </row>
    <row r="23" spans="2:16" x14ac:dyDescent="0.25">
      <c r="B23">
        <v>21</v>
      </c>
      <c r="C23" t="s">
        <v>15</v>
      </c>
      <c r="D23">
        <v>21</v>
      </c>
      <c r="E23" s="13"/>
      <c r="F23">
        <v>60471</v>
      </c>
      <c r="G23" s="7">
        <v>46022</v>
      </c>
      <c r="H23" s="2" t="s">
        <v>63</v>
      </c>
      <c r="I23" s="2" t="s">
        <v>17</v>
      </c>
      <c r="J23" s="2" t="s">
        <v>28</v>
      </c>
      <c r="K23" s="2" t="s">
        <v>64</v>
      </c>
      <c r="L23" s="2" t="s">
        <v>20</v>
      </c>
      <c r="M23" s="14" t="s">
        <v>30</v>
      </c>
      <c r="N23" s="2" t="s">
        <v>22</v>
      </c>
      <c r="O23" s="4">
        <v>10000</v>
      </c>
      <c r="P23" s="17">
        <v>11800</v>
      </c>
    </row>
    <row r="24" spans="2:16" x14ac:dyDescent="0.25">
      <c r="B24">
        <v>22</v>
      </c>
      <c r="C24" t="s">
        <v>15</v>
      </c>
      <c r="D24">
        <v>22</v>
      </c>
      <c r="E24" s="13"/>
      <c r="F24">
        <v>60471</v>
      </c>
      <c r="G24" s="7">
        <v>46022</v>
      </c>
      <c r="H24" s="2" t="s">
        <v>65</v>
      </c>
      <c r="I24" s="2" t="s">
        <v>17</v>
      </c>
      <c r="J24" s="2" t="s">
        <v>28</v>
      </c>
      <c r="K24" s="2" t="s">
        <v>66</v>
      </c>
      <c r="L24" s="2" t="s">
        <v>20</v>
      </c>
      <c r="M24" s="14" t="s">
        <v>30</v>
      </c>
      <c r="N24" s="2" t="s">
        <v>22</v>
      </c>
      <c r="O24" s="4">
        <v>10000</v>
      </c>
      <c r="P24" s="17">
        <v>11800</v>
      </c>
    </row>
    <row r="25" spans="2:16" x14ac:dyDescent="0.25">
      <c r="B25">
        <v>23</v>
      </c>
      <c r="C25" t="s">
        <v>15</v>
      </c>
      <c r="D25">
        <v>23</v>
      </c>
      <c r="E25" s="13"/>
      <c r="F25">
        <v>60471</v>
      </c>
      <c r="G25" s="7">
        <v>46022</v>
      </c>
      <c r="H25" s="2" t="s">
        <v>67</v>
      </c>
      <c r="I25" s="2" t="s">
        <v>17</v>
      </c>
      <c r="J25" s="2" t="s">
        <v>28</v>
      </c>
      <c r="K25" s="2" t="s">
        <v>68</v>
      </c>
      <c r="L25" s="2" t="s">
        <v>20</v>
      </c>
      <c r="M25" s="14" t="s">
        <v>30</v>
      </c>
      <c r="N25" s="2" t="s">
        <v>22</v>
      </c>
      <c r="O25" s="4">
        <v>10000</v>
      </c>
      <c r="P25" s="17">
        <v>11800</v>
      </c>
    </row>
    <row r="26" spans="2:16" x14ac:dyDescent="0.25">
      <c r="B26">
        <v>24</v>
      </c>
      <c r="C26" t="s">
        <v>15</v>
      </c>
      <c r="D26">
        <v>24</v>
      </c>
      <c r="E26" s="13"/>
      <c r="F26">
        <v>60471</v>
      </c>
      <c r="G26" s="7">
        <v>46022</v>
      </c>
      <c r="H26" s="2" t="s">
        <v>69</v>
      </c>
      <c r="I26" s="2" t="s">
        <v>17</v>
      </c>
      <c r="J26" s="2" t="s">
        <v>28</v>
      </c>
      <c r="K26" s="2" t="s">
        <v>70</v>
      </c>
      <c r="L26" s="2" t="s">
        <v>20</v>
      </c>
      <c r="M26" s="14" t="s">
        <v>30</v>
      </c>
      <c r="N26" s="2" t="s">
        <v>22</v>
      </c>
      <c r="O26" s="4">
        <v>10000</v>
      </c>
      <c r="P26" s="17">
        <v>11800</v>
      </c>
    </row>
    <row r="27" spans="2:16" x14ac:dyDescent="0.25">
      <c r="B27">
        <v>25</v>
      </c>
      <c r="C27" t="s">
        <v>15</v>
      </c>
      <c r="D27">
        <v>25</v>
      </c>
      <c r="E27" s="13"/>
      <c r="F27">
        <v>60471</v>
      </c>
      <c r="G27" s="7">
        <v>46022</v>
      </c>
      <c r="H27" s="2" t="s">
        <v>71</v>
      </c>
      <c r="I27" s="2" t="s">
        <v>17</v>
      </c>
      <c r="J27" s="2" t="s">
        <v>28</v>
      </c>
      <c r="K27" s="2" t="s">
        <v>72</v>
      </c>
      <c r="L27" s="2" t="s">
        <v>20</v>
      </c>
      <c r="M27" s="14" t="s">
        <v>30</v>
      </c>
      <c r="N27" s="2" t="s">
        <v>22</v>
      </c>
      <c r="O27" s="4">
        <v>10000</v>
      </c>
      <c r="P27" s="17">
        <v>11800</v>
      </c>
    </row>
    <row r="28" spans="2:16" x14ac:dyDescent="0.25">
      <c r="B28">
        <v>26</v>
      </c>
      <c r="C28" t="s">
        <v>15</v>
      </c>
      <c r="D28">
        <v>26</v>
      </c>
      <c r="E28" s="13"/>
      <c r="F28">
        <v>60471</v>
      </c>
      <c r="G28" s="7">
        <v>46022</v>
      </c>
      <c r="H28" s="2" t="s">
        <v>73</v>
      </c>
      <c r="I28" s="2" t="s">
        <v>17</v>
      </c>
      <c r="J28" s="2" t="s">
        <v>28</v>
      </c>
      <c r="K28" s="2" t="s">
        <v>74</v>
      </c>
      <c r="L28" s="2" t="s">
        <v>20</v>
      </c>
      <c r="M28" s="14" t="s">
        <v>30</v>
      </c>
      <c r="N28" s="2" t="s">
        <v>22</v>
      </c>
      <c r="O28" s="4">
        <v>10000</v>
      </c>
      <c r="P28" s="17">
        <v>11800</v>
      </c>
    </row>
    <row r="29" spans="2:16" x14ac:dyDescent="0.25">
      <c r="B29">
        <v>27</v>
      </c>
      <c r="C29" t="s">
        <v>15</v>
      </c>
      <c r="D29">
        <v>27</v>
      </c>
      <c r="E29" s="13"/>
      <c r="F29">
        <v>60471</v>
      </c>
      <c r="G29" s="7">
        <v>46022</v>
      </c>
      <c r="H29" s="2" t="s">
        <v>75</v>
      </c>
      <c r="I29" s="2" t="s">
        <v>17</v>
      </c>
      <c r="J29" s="2" t="s">
        <v>28</v>
      </c>
      <c r="K29" s="2" t="s">
        <v>76</v>
      </c>
      <c r="L29" s="2" t="s">
        <v>20</v>
      </c>
      <c r="M29" s="14" t="s">
        <v>30</v>
      </c>
      <c r="N29" s="2" t="s">
        <v>22</v>
      </c>
      <c r="O29" s="4">
        <v>10000</v>
      </c>
      <c r="P29" s="17">
        <v>11800</v>
      </c>
    </row>
    <row r="30" spans="2:16" x14ac:dyDescent="0.25">
      <c r="B30">
        <v>28</v>
      </c>
      <c r="C30" t="s">
        <v>15</v>
      </c>
      <c r="D30">
        <v>28</v>
      </c>
      <c r="E30" s="13"/>
      <c r="F30">
        <v>60471</v>
      </c>
      <c r="G30" s="7">
        <v>46022</v>
      </c>
      <c r="H30" s="2" t="s">
        <v>77</v>
      </c>
      <c r="I30" s="2" t="s">
        <v>17</v>
      </c>
      <c r="J30" s="2" t="s">
        <v>28</v>
      </c>
      <c r="K30" s="2" t="s">
        <v>78</v>
      </c>
      <c r="L30" s="2" t="s">
        <v>20</v>
      </c>
      <c r="M30" s="14" t="s">
        <v>30</v>
      </c>
      <c r="N30" s="2" t="s">
        <v>22</v>
      </c>
      <c r="O30" s="4">
        <v>10000</v>
      </c>
      <c r="P30" s="17">
        <v>11800</v>
      </c>
    </row>
    <row r="31" spans="2:16" x14ac:dyDescent="0.25">
      <c r="B31">
        <v>29</v>
      </c>
      <c r="C31" t="s">
        <v>15</v>
      </c>
      <c r="D31">
        <v>29</v>
      </c>
      <c r="E31" s="13"/>
      <c r="F31">
        <v>60471</v>
      </c>
      <c r="G31" s="7">
        <v>46022</v>
      </c>
      <c r="H31" s="2" t="s">
        <v>79</v>
      </c>
      <c r="I31" s="2" t="s">
        <v>17</v>
      </c>
      <c r="J31" s="2" t="s">
        <v>28</v>
      </c>
      <c r="K31" s="2" t="s">
        <v>80</v>
      </c>
      <c r="L31" s="2" t="s">
        <v>20</v>
      </c>
      <c r="M31" s="14" t="s">
        <v>30</v>
      </c>
      <c r="N31" s="2" t="s">
        <v>22</v>
      </c>
      <c r="O31" s="4">
        <v>10000</v>
      </c>
      <c r="P31" s="17">
        <v>11800</v>
      </c>
    </row>
    <row r="32" spans="2:16" x14ac:dyDescent="0.25">
      <c r="B32">
        <v>30</v>
      </c>
      <c r="C32" t="s">
        <v>15</v>
      </c>
      <c r="D32">
        <v>30</v>
      </c>
      <c r="E32" s="13"/>
      <c r="F32">
        <v>60471</v>
      </c>
      <c r="G32" s="7">
        <v>46022</v>
      </c>
      <c r="H32" s="2" t="s">
        <v>81</v>
      </c>
      <c r="I32" s="2" t="s">
        <v>17</v>
      </c>
      <c r="J32" s="2" t="s">
        <v>28</v>
      </c>
      <c r="K32" s="2" t="s">
        <v>82</v>
      </c>
      <c r="L32" s="2" t="s">
        <v>20</v>
      </c>
      <c r="M32" s="14" t="s">
        <v>30</v>
      </c>
      <c r="N32" s="2" t="s">
        <v>22</v>
      </c>
      <c r="O32" s="4">
        <v>10000</v>
      </c>
      <c r="P32" s="17">
        <v>11800</v>
      </c>
    </row>
    <row r="33" spans="2:16" x14ac:dyDescent="0.25">
      <c r="B33">
        <v>31</v>
      </c>
      <c r="C33" t="s">
        <v>15</v>
      </c>
      <c r="D33">
        <v>31</v>
      </c>
      <c r="E33" s="13"/>
      <c r="F33">
        <v>60471</v>
      </c>
      <c r="G33" s="7">
        <v>46022</v>
      </c>
      <c r="H33" s="2" t="s">
        <v>83</v>
      </c>
      <c r="I33" s="2" t="s">
        <v>17</v>
      </c>
      <c r="J33" s="2" t="s">
        <v>28</v>
      </c>
      <c r="K33" s="2" t="s">
        <v>84</v>
      </c>
      <c r="L33" s="2" t="s">
        <v>20</v>
      </c>
      <c r="M33" s="14" t="s">
        <v>30</v>
      </c>
      <c r="N33" s="2" t="s">
        <v>22</v>
      </c>
      <c r="O33" s="4">
        <v>10000</v>
      </c>
      <c r="P33" s="17">
        <v>11800</v>
      </c>
    </row>
    <row r="34" spans="2:16" x14ac:dyDescent="0.25">
      <c r="B34">
        <v>32</v>
      </c>
      <c r="C34" t="s">
        <v>15</v>
      </c>
      <c r="D34">
        <v>32</v>
      </c>
      <c r="E34" s="13"/>
      <c r="F34">
        <v>60471</v>
      </c>
      <c r="G34" s="7">
        <v>46022</v>
      </c>
      <c r="H34" s="2" t="s">
        <v>85</v>
      </c>
      <c r="I34" s="2" t="s">
        <v>17</v>
      </c>
      <c r="J34" s="2" t="s">
        <v>28</v>
      </c>
      <c r="K34" s="2" t="s">
        <v>86</v>
      </c>
      <c r="L34" s="2" t="s">
        <v>20</v>
      </c>
      <c r="M34" s="14" t="s">
        <v>30</v>
      </c>
      <c r="N34" s="2" t="s">
        <v>22</v>
      </c>
      <c r="O34" s="4">
        <v>10000</v>
      </c>
      <c r="P34" s="17">
        <v>11800</v>
      </c>
    </row>
    <row r="35" spans="2:16" x14ac:dyDescent="0.25">
      <c r="B35">
        <v>33</v>
      </c>
      <c r="C35" t="s">
        <v>15</v>
      </c>
      <c r="D35">
        <v>33</v>
      </c>
      <c r="E35" s="13"/>
      <c r="F35">
        <v>60471</v>
      </c>
      <c r="G35" s="7">
        <v>46022</v>
      </c>
      <c r="H35" s="2" t="s">
        <v>87</v>
      </c>
      <c r="I35" s="2" t="s">
        <v>17</v>
      </c>
      <c r="J35" s="2" t="s">
        <v>28</v>
      </c>
      <c r="K35" s="2" t="s">
        <v>88</v>
      </c>
      <c r="L35" s="2" t="s">
        <v>20</v>
      </c>
      <c r="M35" s="14" t="s">
        <v>30</v>
      </c>
      <c r="N35" s="2" t="s">
        <v>22</v>
      </c>
      <c r="O35" s="4">
        <v>10000</v>
      </c>
      <c r="P35" s="17">
        <v>11800</v>
      </c>
    </row>
    <row r="36" spans="2:16" x14ac:dyDescent="0.25">
      <c r="B36">
        <v>34</v>
      </c>
      <c r="C36" t="s">
        <v>15</v>
      </c>
      <c r="D36">
        <v>34</v>
      </c>
      <c r="E36" s="13"/>
      <c r="F36">
        <v>60471</v>
      </c>
      <c r="G36" s="7">
        <v>46022</v>
      </c>
      <c r="H36" s="2" t="s">
        <v>89</v>
      </c>
      <c r="I36" s="2" t="s">
        <v>17</v>
      </c>
      <c r="J36" s="2" t="s">
        <v>28</v>
      </c>
      <c r="K36" s="2" t="s">
        <v>90</v>
      </c>
      <c r="L36" s="2" t="s">
        <v>20</v>
      </c>
      <c r="M36" s="14" t="s">
        <v>30</v>
      </c>
      <c r="N36" s="2" t="s">
        <v>22</v>
      </c>
      <c r="O36" s="4">
        <v>10000</v>
      </c>
      <c r="P36" s="17">
        <v>11800</v>
      </c>
    </row>
    <row r="37" spans="2:16" x14ac:dyDescent="0.25">
      <c r="B37">
        <v>35</v>
      </c>
      <c r="C37" t="s">
        <v>15</v>
      </c>
      <c r="D37">
        <v>35</v>
      </c>
      <c r="E37" s="13"/>
      <c r="F37">
        <v>60471</v>
      </c>
      <c r="G37" s="7">
        <v>46022</v>
      </c>
      <c r="H37" s="2" t="s">
        <v>91</v>
      </c>
      <c r="I37" s="2" t="s">
        <v>17</v>
      </c>
      <c r="J37" s="2" t="s">
        <v>92</v>
      </c>
      <c r="K37" s="2" t="s">
        <v>93</v>
      </c>
      <c r="L37" s="2" t="s">
        <v>20</v>
      </c>
      <c r="M37" s="14" t="s">
        <v>94</v>
      </c>
      <c r="N37" s="2" t="s">
        <v>22</v>
      </c>
      <c r="O37" s="4">
        <v>10000</v>
      </c>
      <c r="P37" s="17">
        <v>11800</v>
      </c>
    </row>
    <row r="38" spans="2:16" x14ac:dyDescent="0.25">
      <c r="B38">
        <v>36</v>
      </c>
      <c r="C38" t="s">
        <v>15</v>
      </c>
      <c r="D38">
        <v>36</v>
      </c>
      <c r="E38" s="13"/>
      <c r="F38">
        <v>60471</v>
      </c>
      <c r="G38" s="7">
        <v>46022</v>
      </c>
      <c r="H38" s="2" t="s">
        <v>95</v>
      </c>
      <c r="I38" s="2" t="s">
        <v>17</v>
      </c>
      <c r="J38" s="2" t="s">
        <v>92</v>
      </c>
      <c r="K38" s="2" t="s">
        <v>96</v>
      </c>
      <c r="L38" s="2" t="s">
        <v>20</v>
      </c>
      <c r="M38" s="14" t="s">
        <v>94</v>
      </c>
      <c r="N38" s="2" t="s">
        <v>22</v>
      </c>
      <c r="O38" s="4">
        <v>10000</v>
      </c>
      <c r="P38" s="17">
        <v>11800</v>
      </c>
    </row>
    <row r="39" spans="2:16" x14ac:dyDescent="0.25">
      <c r="B39">
        <v>37</v>
      </c>
      <c r="C39" t="s">
        <v>15</v>
      </c>
      <c r="D39">
        <v>37</v>
      </c>
      <c r="E39" s="13"/>
      <c r="F39">
        <v>60471</v>
      </c>
      <c r="G39" s="7">
        <v>46022</v>
      </c>
      <c r="H39" s="2" t="s">
        <v>97</v>
      </c>
      <c r="I39" s="2" t="s">
        <v>17</v>
      </c>
      <c r="J39" s="2" t="s">
        <v>92</v>
      </c>
      <c r="K39" s="2" t="s">
        <v>98</v>
      </c>
      <c r="L39" s="2" t="s">
        <v>20</v>
      </c>
      <c r="M39" s="14" t="s">
        <v>94</v>
      </c>
      <c r="N39" s="2" t="s">
        <v>22</v>
      </c>
      <c r="O39" s="4">
        <v>10000</v>
      </c>
      <c r="P39" s="17">
        <v>11800</v>
      </c>
    </row>
    <row r="40" spans="2:16" x14ac:dyDescent="0.25">
      <c r="B40">
        <v>38</v>
      </c>
      <c r="C40" t="s">
        <v>15</v>
      </c>
      <c r="D40">
        <v>38</v>
      </c>
      <c r="E40" s="13"/>
      <c r="F40">
        <v>60471</v>
      </c>
      <c r="G40" s="7">
        <v>46022</v>
      </c>
      <c r="H40" s="2" t="s">
        <v>99</v>
      </c>
      <c r="I40" s="2" t="s">
        <v>17</v>
      </c>
      <c r="J40" s="2" t="s">
        <v>92</v>
      </c>
      <c r="K40" s="2" t="s">
        <v>100</v>
      </c>
      <c r="L40" s="2" t="s">
        <v>20</v>
      </c>
      <c r="M40" s="14" t="s">
        <v>94</v>
      </c>
      <c r="N40" s="2" t="s">
        <v>22</v>
      </c>
      <c r="O40" s="4">
        <v>10000</v>
      </c>
      <c r="P40" s="17">
        <v>11800</v>
      </c>
    </row>
    <row r="41" spans="2:16" x14ac:dyDescent="0.25">
      <c r="B41">
        <v>39</v>
      </c>
      <c r="C41" t="s">
        <v>15</v>
      </c>
      <c r="D41">
        <v>39</v>
      </c>
      <c r="E41" s="13"/>
      <c r="F41">
        <v>60471</v>
      </c>
      <c r="G41" s="7">
        <v>46022</v>
      </c>
      <c r="H41" s="2" t="s">
        <v>101</v>
      </c>
      <c r="I41" s="2" t="s">
        <v>17</v>
      </c>
      <c r="J41" s="2" t="s">
        <v>92</v>
      </c>
      <c r="K41" s="2" t="s">
        <v>102</v>
      </c>
      <c r="L41" s="2" t="s">
        <v>20</v>
      </c>
      <c r="M41" s="14" t="s">
        <v>94</v>
      </c>
      <c r="N41" s="2" t="s">
        <v>22</v>
      </c>
      <c r="O41" s="4">
        <v>10000</v>
      </c>
      <c r="P41" s="17">
        <v>11800</v>
      </c>
    </row>
    <row r="42" spans="2:16" x14ac:dyDescent="0.25">
      <c r="B42">
        <v>40</v>
      </c>
      <c r="C42" t="s">
        <v>15</v>
      </c>
      <c r="D42">
        <v>40</v>
      </c>
      <c r="E42" s="13"/>
      <c r="F42">
        <v>60471</v>
      </c>
      <c r="G42" s="7">
        <v>46022</v>
      </c>
      <c r="H42" s="2" t="s">
        <v>103</v>
      </c>
      <c r="I42" s="2" t="s">
        <v>17</v>
      </c>
      <c r="J42" s="2" t="s">
        <v>92</v>
      </c>
      <c r="K42" s="2" t="s">
        <v>104</v>
      </c>
      <c r="L42" s="2" t="s">
        <v>20</v>
      </c>
      <c r="M42" s="14" t="s">
        <v>94</v>
      </c>
      <c r="N42" s="2" t="s">
        <v>22</v>
      </c>
      <c r="O42" s="4">
        <v>10000</v>
      </c>
      <c r="P42" s="17">
        <v>11800</v>
      </c>
    </row>
    <row r="43" spans="2:16" x14ac:dyDescent="0.25">
      <c r="B43">
        <v>41</v>
      </c>
      <c r="C43" t="s">
        <v>15</v>
      </c>
      <c r="D43">
        <v>41</v>
      </c>
      <c r="E43" s="13"/>
      <c r="F43">
        <v>60471</v>
      </c>
      <c r="G43" s="7">
        <v>46022</v>
      </c>
      <c r="H43" s="2" t="s">
        <v>105</v>
      </c>
      <c r="I43" s="2" t="s">
        <v>17</v>
      </c>
      <c r="J43" s="2" t="s">
        <v>92</v>
      </c>
      <c r="K43" s="2" t="s">
        <v>106</v>
      </c>
      <c r="L43" s="2" t="s">
        <v>20</v>
      </c>
      <c r="M43" s="14" t="s">
        <v>94</v>
      </c>
      <c r="N43" s="2" t="s">
        <v>22</v>
      </c>
      <c r="O43" s="4">
        <v>10000</v>
      </c>
      <c r="P43" s="17">
        <v>11800</v>
      </c>
    </row>
    <row r="44" spans="2:16" x14ac:dyDescent="0.25">
      <c r="B44">
        <v>42</v>
      </c>
      <c r="C44" t="s">
        <v>15</v>
      </c>
      <c r="D44">
        <v>42</v>
      </c>
      <c r="E44" s="13"/>
      <c r="F44">
        <v>60471</v>
      </c>
      <c r="G44" s="7">
        <v>46022</v>
      </c>
      <c r="H44" s="2" t="s">
        <v>107</v>
      </c>
      <c r="I44" s="2" t="s">
        <v>17</v>
      </c>
      <c r="J44" s="2" t="s">
        <v>92</v>
      </c>
      <c r="K44" s="2" t="s">
        <v>108</v>
      </c>
      <c r="L44" s="2" t="s">
        <v>20</v>
      </c>
      <c r="M44" s="14" t="s">
        <v>94</v>
      </c>
      <c r="N44" s="2" t="s">
        <v>22</v>
      </c>
      <c r="O44" s="4">
        <v>10000</v>
      </c>
      <c r="P44" s="17">
        <v>11800</v>
      </c>
    </row>
    <row r="45" spans="2:16" x14ac:dyDescent="0.25">
      <c r="B45">
        <v>43</v>
      </c>
      <c r="C45" t="s">
        <v>15</v>
      </c>
      <c r="D45">
        <v>43</v>
      </c>
      <c r="E45" s="13"/>
      <c r="F45">
        <v>60471</v>
      </c>
      <c r="G45" s="7">
        <v>46022</v>
      </c>
      <c r="H45" s="2" t="s">
        <v>109</v>
      </c>
      <c r="I45" s="2" t="s">
        <v>17</v>
      </c>
      <c r="J45" s="2" t="s">
        <v>92</v>
      </c>
      <c r="K45" s="2" t="s">
        <v>110</v>
      </c>
      <c r="L45" s="2" t="s">
        <v>20</v>
      </c>
      <c r="M45" s="14" t="s">
        <v>94</v>
      </c>
      <c r="N45" s="2" t="s">
        <v>22</v>
      </c>
      <c r="O45" s="4">
        <v>10000</v>
      </c>
      <c r="P45" s="17">
        <v>11800</v>
      </c>
    </row>
    <row r="46" spans="2:16" x14ac:dyDescent="0.25">
      <c r="B46">
        <v>44</v>
      </c>
      <c r="C46" t="s">
        <v>15</v>
      </c>
      <c r="D46">
        <v>44</v>
      </c>
      <c r="E46" s="13"/>
      <c r="F46">
        <v>60471</v>
      </c>
      <c r="G46" s="7">
        <v>46022</v>
      </c>
      <c r="H46" s="2" t="s">
        <v>111</v>
      </c>
      <c r="I46" s="2" t="s">
        <v>17</v>
      </c>
      <c r="J46" s="2" t="s">
        <v>92</v>
      </c>
      <c r="K46" s="2" t="s">
        <v>112</v>
      </c>
      <c r="L46" s="2" t="s">
        <v>20</v>
      </c>
      <c r="M46" s="14" t="s">
        <v>94</v>
      </c>
      <c r="N46" s="2" t="s">
        <v>22</v>
      </c>
      <c r="O46" s="4">
        <v>10000</v>
      </c>
      <c r="P46" s="17">
        <v>11800</v>
      </c>
    </row>
    <row r="47" spans="2:16" x14ac:dyDescent="0.25">
      <c r="B47">
        <v>45</v>
      </c>
      <c r="C47" t="s">
        <v>15</v>
      </c>
      <c r="D47">
        <v>45</v>
      </c>
      <c r="E47" s="13"/>
      <c r="F47">
        <v>60471</v>
      </c>
      <c r="G47" s="7">
        <v>46022</v>
      </c>
      <c r="H47" s="2" t="s">
        <v>113</v>
      </c>
      <c r="I47" s="2" t="s">
        <v>17</v>
      </c>
      <c r="J47" s="2" t="s">
        <v>92</v>
      </c>
      <c r="K47" s="2" t="s">
        <v>114</v>
      </c>
      <c r="L47" s="2" t="s">
        <v>20</v>
      </c>
      <c r="M47" s="14" t="s">
        <v>94</v>
      </c>
      <c r="N47" s="2" t="s">
        <v>22</v>
      </c>
      <c r="O47" s="4">
        <v>10000</v>
      </c>
      <c r="P47" s="17">
        <v>11800</v>
      </c>
    </row>
    <row r="48" spans="2:16" x14ac:dyDescent="0.25">
      <c r="B48">
        <v>46</v>
      </c>
      <c r="C48" t="s">
        <v>15</v>
      </c>
      <c r="D48">
        <v>46</v>
      </c>
      <c r="E48" s="13"/>
      <c r="F48">
        <v>60471</v>
      </c>
      <c r="G48" s="7">
        <v>46022</v>
      </c>
      <c r="H48" s="2" t="s">
        <v>115</v>
      </c>
      <c r="I48" s="2" t="s">
        <v>17</v>
      </c>
      <c r="J48" s="2" t="s">
        <v>92</v>
      </c>
      <c r="K48" s="2" t="s">
        <v>116</v>
      </c>
      <c r="L48" s="2" t="s">
        <v>20</v>
      </c>
      <c r="M48" s="14" t="s">
        <v>94</v>
      </c>
      <c r="N48" s="2" t="s">
        <v>22</v>
      </c>
      <c r="O48" s="4">
        <v>10000</v>
      </c>
      <c r="P48" s="17">
        <v>11800</v>
      </c>
    </row>
    <row r="49" spans="2:16" x14ac:dyDescent="0.25">
      <c r="B49">
        <v>47</v>
      </c>
      <c r="C49" t="s">
        <v>15</v>
      </c>
      <c r="D49">
        <v>47</v>
      </c>
      <c r="E49" s="13"/>
      <c r="F49">
        <v>60471</v>
      </c>
      <c r="G49" s="7">
        <v>46022</v>
      </c>
      <c r="H49" s="2" t="s">
        <v>117</v>
      </c>
      <c r="I49" s="2" t="s">
        <v>17</v>
      </c>
      <c r="J49" s="2" t="s">
        <v>92</v>
      </c>
      <c r="K49" s="2" t="s">
        <v>118</v>
      </c>
      <c r="L49" s="2" t="s">
        <v>20</v>
      </c>
      <c r="M49" s="14" t="s">
        <v>94</v>
      </c>
      <c r="N49" s="2" t="s">
        <v>22</v>
      </c>
      <c r="O49" s="4">
        <v>10000</v>
      </c>
      <c r="P49" s="17">
        <v>11800</v>
      </c>
    </row>
    <row r="50" spans="2:16" x14ac:dyDescent="0.25">
      <c r="B50">
        <v>48</v>
      </c>
      <c r="C50" t="s">
        <v>15</v>
      </c>
      <c r="D50">
        <v>48</v>
      </c>
      <c r="E50" s="13"/>
      <c r="F50">
        <v>60471</v>
      </c>
      <c r="G50" s="7">
        <v>46022</v>
      </c>
      <c r="H50" s="2" t="s">
        <v>119</v>
      </c>
      <c r="I50" s="2" t="s">
        <v>17</v>
      </c>
      <c r="J50" s="2" t="s">
        <v>92</v>
      </c>
      <c r="K50" s="2" t="s">
        <v>120</v>
      </c>
      <c r="L50" s="2" t="s">
        <v>20</v>
      </c>
      <c r="M50" s="14" t="s">
        <v>94</v>
      </c>
      <c r="N50" s="2" t="s">
        <v>22</v>
      </c>
      <c r="O50" s="4">
        <v>10000</v>
      </c>
      <c r="P50" s="17">
        <v>11800</v>
      </c>
    </row>
    <row r="51" spans="2:16" x14ac:dyDescent="0.25">
      <c r="B51">
        <v>49</v>
      </c>
      <c r="C51" t="s">
        <v>15</v>
      </c>
      <c r="D51">
        <v>49</v>
      </c>
      <c r="E51" s="13"/>
      <c r="F51">
        <v>60471</v>
      </c>
      <c r="G51" s="7">
        <v>46022</v>
      </c>
      <c r="H51" s="2" t="s">
        <v>121</v>
      </c>
      <c r="I51" s="2" t="s">
        <v>17</v>
      </c>
      <c r="J51" s="2" t="s">
        <v>92</v>
      </c>
      <c r="L51" s="2" t="s">
        <v>20</v>
      </c>
      <c r="M51" s="14" t="s">
        <v>94</v>
      </c>
      <c r="N51" s="2" t="s">
        <v>22</v>
      </c>
      <c r="O51" s="4">
        <v>1000</v>
      </c>
      <c r="P51" s="17">
        <v>1180</v>
      </c>
    </row>
    <row r="52" spans="2:16" x14ac:dyDescent="0.25">
      <c r="B52">
        <v>50</v>
      </c>
      <c r="C52" t="s">
        <v>15</v>
      </c>
      <c r="D52">
        <v>50</v>
      </c>
      <c r="E52" s="13"/>
      <c r="F52">
        <v>60471</v>
      </c>
      <c r="G52" s="7">
        <v>46022</v>
      </c>
      <c r="H52" s="2" t="s">
        <v>122</v>
      </c>
      <c r="I52" s="2" t="s">
        <v>17</v>
      </c>
      <c r="J52" s="2" t="s">
        <v>92</v>
      </c>
      <c r="K52" s="2" t="s">
        <v>123</v>
      </c>
      <c r="L52" s="2" t="s">
        <v>20</v>
      </c>
      <c r="M52" s="14" t="s">
        <v>94</v>
      </c>
      <c r="N52" s="2" t="s">
        <v>22</v>
      </c>
      <c r="O52" s="4">
        <v>10000</v>
      </c>
      <c r="P52" s="17">
        <v>11800</v>
      </c>
    </row>
    <row r="53" spans="2:16" x14ac:dyDescent="0.25">
      <c r="B53">
        <v>51</v>
      </c>
      <c r="C53" t="s">
        <v>15</v>
      </c>
      <c r="D53">
        <v>51</v>
      </c>
      <c r="E53" s="13"/>
      <c r="F53">
        <v>60471</v>
      </c>
      <c r="G53" s="7">
        <v>46022</v>
      </c>
      <c r="H53" s="2" t="s">
        <v>124</v>
      </c>
      <c r="I53" s="2" t="s">
        <v>17</v>
      </c>
      <c r="J53" s="2" t="s">
        <v>92</v>
      </c>
      <c r="K53" s="2" t="s">
        <v>125</v>
      </c>
      <c r="L53" s="2" t="s">
        <v>20</v>
      </c>
      <c r="M53" s="14" t="s">
        <v>94</v>
      </c>
      <c r="N53" s="2" t="s">
        <v>22</v>
      </c>
      <c r="O53" s="4">
        <v>10000</v>
      </c>
      <c r="P53" s="17">
        <v>11800</v>
      </c>
    </row>
    <row r="54" spans="2:16" x14ac:dyDescent="0.25">
      <c r="B54">
        <v>52</v>
      </c>
      <c r="C54" t="s">
        <v>15</v>
      </c>
      <c r="D54">
        <v>52</v>
      </c>
      <c r="E54" s="13"/>
      <c r="F54">
        <v>60471</v>
      </c>
      <c r="G54" s="7">
        <v>46022</v>
      </c>
      <c r="H54" s="2" t="s">
        <v>126</v>
      </c>
      <c r="I54" s="2" t="s">
        <v>17</v>
      </c>
      <c r="J54" s="2" t="s">
        <v>92</v>
      </c>
      <c r="K54" s="2" t="s">
        <v>127</v>
      </c>
      <c r="L54" s="2" t="s">
        <v>20</v>
      </c>
      <c r="M54" s="14" t="s">
        <v>94</v>
      </c>
      <c r="N54" s="2" t="s">
        <v>22</v>
      </c>
      <c r="O54" s="4">
        <v>10000</v>
      </c>
      <c r="P54" s="17">
        <v>11800</v>
      </c>
    </row>
    <row r="55" spans="2:16" x14ac:dyDescent="0.25">
      <c r="B55">
        <v>53</v>
      </c>
      <c r="C55" t="s">
        <v>15</v>
      </c>
      <c r="D55">
        <v>53</v>
      </c>
      <c r="E55" s="13"/>
      <c r="F55">
        <v>60471</v>
      </c>
      <c r="G55" s="7">
        <v>46022</v>
      </c>
      <c r="H55" s="2" t="s">
        <v>128</v>
      </c>
      <c r="I55" s="2" t="s">
        <v>17</v>
      </c>
      <c r="J55" s="2" t="s">
        <v>92</v>
      </c>
      <c r="K55" s="2" t="s">
        <v>129</v>
      </c>
      <c r="L55" s="2" t="s">
        <v>20</v>
      </c>
      <c r="M55" s="14" t="s">
        <v>94</v>
      </c>
      <c r="N55" s="2" t="s">
        <v>22</v>
      </c>
      <c r="O55" s="4">
        <v>10000</v>
      </c>
      <c r="P55" s="17">
        <v>11800</v>
      </c>
    </row>
    <row r="56" spans="2:16" x14ac:dyDescent="0.25">
      <c r="B56">
        <v>54</v>
      </c>
      <c r="C56" t="s">
        <v>15</v>
      </c>
      <c r="D56">
        <v>54</v>
      </c>
      <c r="E56" s="13"/>
      <c r="F56">
        <v>60471</v>
      </c>
      <c r="G56" s="7">
        <v>46022</v>
      </c>
      <c r="H56" s="2" t="s">
        <v>130</v>
      </c>
      <c r="I56" s="2" t="s">
        <v>17</v>
      </c>
      <c r="J56" s="2" t="s">
        <v>92</v>
      </c>
      <c r="K56" s="2" t="s">
        <v>131</v>
      </c>
      <c r="L56" s="2" t="s">
        <v>20</v>
      </c>
      <c r="M56" s="14" t="s">
        <v>94</v>
      </c>
      <c r="N56" s="2" t="s">
        <v>22</v>
      </c>
      <c r="O56" s="4">
        <v>10000</v>
      </c>
      <c r="P56" s="17">
        <v>11800</v>
      </c>
    </row>
    <row r="57" spans="2:16" x14ac:dyDescent="0.25">
      <c r="B57">
        <v>55</v>
      </c>
      <c r="C57" t="s">
        <v>15</v>
      </c>
      <c r="D57">
        <v>55</v>
      </c>
      <c r="E57" s="13"/>
      <c r="F57">
        <v>60471</v>
      </c>
      <c r="G57" s="7">
        <v>46022</v>
      </c>
      <c r="H57" s="2" t="s">
        <v>132</v>
      </c>
      <c r="I57" s="2" t="s">
        <v>17</v>
      </c>
      <c r="J57" s="2" t="s">
        <v>92</v>
      </c>
      <c r="K57" s="2" t="s">
        <v>133</v>
      </c>
      <c r="L57" s="2" t="s">
        <v>20</v>
      </c>
      <c r="M57" s="14" t="s">
        <v>94</v>
      </c>
      <c r="N57" s="2" t="s">
        <v>22</v>
      </c>
      <c r="O57" s="4">
        <v>10000</v>
      </c>
      <c r="P57" s="17">
        <v>11800</v>
      </c>
    </row>
    <row r="58" spans="2:16" x14ac:dyDescent="0.25">
      <c r="B58">
        <v>56</v>
      </c>
      <c r="C58" t="s">
        <v>15</v>
      </c>
      <c r="D58">
        <v>56</v>
      </c>
      <c r="E58" s="13"/>
      <c r="F58">
        <v>60471</v>
      </c>
      <c r="G58" s="7">
        <v>46022</v>
      </c>
      <c r="H58" s="2" t="s">
        <v>134</v>
      </c>
      <c r="I58" s="2" t="s">
        <v>17</v>
      </c>
      <c r="J58" s="2" t="s">
        <v>92</v>
      </c>
      <c r="K58" s="2" t="s">
        <v>135</v>
      </c>
      <c r="L58" s="2" t="s">
        <v>20</v>
      </c>
      <c r="M58" s="14" t="s">
        <v>94</v>
      </c>
      <c r="N58" s="2" t="s">
        <v>22</v>
      </c>
      <c r="O58" s="4">
        <v>10000</v>
      </c>
      <c r="P58" s="17">
        <v>11800</v>
      </c>
    </row>
    <row r="59" spans="2:16" x14ac:dyDescent="0.25">
      <c r="B59">
        <v>57</v>
      </c>
      <c r="C59" t="s">
        <v>15</v>
      </c>
      <c r="D59">
        <v>57</v>
      </c>
      <c r="E59" s="13"/>
      <c r="F59">
        <v>60471</v>
      </c>
      <c r="G59" s="7">
        <v>46022</v>
      </c>
      <c r="H59" s="2" t="s">
        <v>136</v>
      </c>
      <c r="I59" s="2" t="s">
        <v>17</v>
      </c>
      <c r="J59" s="2" t="s">
        <v>92</v>
      </c>
      <c r="K59" s="2" t="s">
        <v>137</v>
      </c>
      <c r="L59" s="2" t="s">
        <v>20</v>
      </c>
      <c r="M59" s="14" t="s">
        <v>94</v>
      </c>
      <c r="N59" s="2" t="s">
        <v>22</v>
      </c>
      <c r="O59" s="4">
        <v>10000</v>
      </c>
      <c r="P59" s="17">
        <v>11800</v>
      </c>
    </row>
    <row r="60" spans="2:16" x14ac:dyDescent="0.25">
      <c r="B60">
        <v>58</v>
      </c>
      <c r="C60" t="s">
        <v>15</v>
      </c>
      <c r="D60">
        <v>58</v>
      </c>
      <c r="E60" s="13"/>
      <c r="F60">
        <v>60471</v>
      </c>
      <c r="G60" s="7">
        <v>46022</v>
      </c>
      <c r="H60" s="2" t="s">
        <v>138</v>
      </c>
      <c r="I60" s="2" t="s">
        <v>17</v>
      </c>
      <c r="J60" s="2" t="s">
        <v>92</v>
      </c>
      <c r="K60" s="2" t="s">
        <v>139</v>
      </c>
      <c r="L60" s="2" t="s">
        <v>20</v>
      </c>
      <c r="M60" s="14" t="s">
        <v>94</v>
      </c>
      <c r="N60" s="2" t="s">
        <v>22</v>
      </c>
      <c r="O60" s="4">
        <v>10000</v>
      </c>
      <c r="P60" s="17">
        <v>11800</v>
      </c>
    </row>
    <row r="61" spans="2:16" x14ac:dyDescent="0.25">
      <c r="B61">
        <v>59</v>
      </c>
      <c r="C61" t="s">
        <v>15</v>
      </c>
      <c r="D61">
        <v>59</v>
      </c>
      <c r="E61" s="13"/>
      <c r="F61">
        <v>60471</v>
      </c>
      <c r="G61" s="7">
        <v>46022</v>
      </c>
      <c r="H61" s="2" t="s">
        <v>140</v>
      </c>
      <c r="I61" s="2" t="s">
        <v>17</v>
      </c>
      <c r="J61" s="2" t="s">
        <v>92</v>
      </c>
      <c r="K61" s="2" t="s">
        <v>141</v>
      </c>
      <c r="L61" s="2" t="s">
        <v>20</v>
      </c>
      <c r="M61" s="14" t="s">
        <v>94</v>
      </c>
      <c r="N61" s="2" t="s">
        <v>22</v>
      </c>
      <c r="O61" s="4">
        <v>10000</v>
      </c>
      <c r="P61" s="17">
        <v>11800</v>
      </c>
    </row>
    <row r="62" spans="2:16" x14ac:dyDescent="0.25">
      <c r="B62">
        <v>60</v>
      </c>
      <c r="C62" t="s">
        <v>15</v>
      </c>
      <c r="D62">
        <v>60</v>
      </c>
      <c r="E62" s="13"/>
      <c r="F62">
        <v>60471</v>
      </c>
      <c r="G62" s="7">
        <v>46022</v>
      </c>
      <c r="H62" s="2" t="s">
        <v>142</v>
      </c>
      <c r="I62" s="2" t="s">
        <v>17</v>
      </c>
      <c r="J62" s="2" t="s">
        <v>92</v>
      </c>
      <c r="K62" s="2" t="s">
        <v>143</v>
      </c>
      <c r="L62" s="2" t="s">
        <v>20</v>
      </c>
      <c r="M62" s="14" t="s">
        <v>94</v>
      </c>
      <c r="N62" s="2" t="s">
        <v>22</v>
      </c>
      <c r="O62" s="4">
        <v>10000</v>
      </c>
      <c r="P62" s="17">
        <v>11800</v>
      </c>
    </row>
    <row r="63" spans="2:16" x14ac:dyDescent="0.25">
      <c r="B63">
        <v>61</v>
      </c>
      <c r="C63" t="s">
        <v>15</v>
      </c>
      <c r="D63">
        <v>61</v>
      </c>
      <c r="E63" s="13"/>
      <c r="F63">
        <v>60471</v>
      </c>
      <c r="G63" s="7">
        <v>46022</v>
      </c>
      <c r="H63" s="2" t="s">
        <v>144</v>
      </c>
      <c r="I63" s="2" t="s">
        <v>17</v>
      </c>
      <c r="J63" s="2" t="s">
        <v>92</v>
      </c>
      <c r="K63" s="2" t="s">
        <v>145</v>
      </c>
      <c r="L63" s="2" t="s">
        <v>20</v>
      </c>
      <c r="M63" s="14" t="s">
        <v>94</v>
      </c>
      <c r="N63" s="2" t="s">
        <v>22</v>
      </c>
      <c r="O63" s="4">
        <v>10000</v>
      </c>
      <c r="P63" s="17">
        <v>11800</v>
      </c>
    </row>
    <row r="64" spans="2:16" x14ac:dyDescent="0.25">
      <c r="B64">
        <v>62</v>
      </c>
      <c r="C64" t="s">
        <v>15</v>
      </c>
      <c r="D64">
        <v>62</v>
      </c>
      <c r="E64" s="13"/>
      <c r="F64">
        <v>60471</v>
      </c>
      <c r="G64" s="7">
        <v>46022</v>
      </c>
      <c r="H64" s="2" t="s">
        <v>146</v>
      </c>
      <c r="I64" s="2" t="s">
        <v>17</v>
      </c>
      <c r="J64" s="2" t="s">
        <v>92</v>
      </c>
      <c r="K64" s="2" t="s">
        <v>147</v>
      </c>
      <c r="L64" s="2" t="s">
        <v>20</v>
      </c>
      <c r="M64" s="14" t="s">
        <v>94</v>
      </c>
      <c r="N64" s="2" t="s">
        <v>22</v>
      </c>
      <c r="O64" s="4">
        <v>10000</v>
      </c>
      <c r="P64" s="17">
        <v>11800</v>
      </c>
    </row>
    <row r="65" spans="2:16" x14ac:dyDescent="0.25">
      <c r="B65">
        <v>63</v>
      </c>
      <c r="C65" t="s">
        <v>15</v>
      </c>
      <c r="D65">
        <v>63</v>
      </c>
      <c r="E65" s="13"/>
      <c r="F65">
        <v>60471</v>
      </c>
      <c r="G65" s="7">
        <v>46022</v>
      </c>
      <c r="H65" s="2" t="s">
        <v>148</v>
      </c>
      <c r="I65" s="2" t="s">
        <v>17</v>
      </c>
      <c r="J65" s="2" t="s">
        <v>92</v>
      </c>
      <c r="K65" s="2" t="s">
        <v>149</v>
      </c>
      <c r="L65" s="2" t="s">
        <v>20</v>
      </c>
      <c r="M65" s="14" t="s">
        <v>94</v>
      </c>
      <c r="N65" s="2" t="s">
        <v>22</v>
      </c>
      <c r="O65" s="4">
        <v>10000</v>
      </c>
      <c r="P65" s="17">
        <v>11800</v>
      </c>
    </row>
    <row r="66" spans="2:16" x14ac:dyDescent="0.25">
      <c r="B66">
        <v>64</v>
      </c>
      <c r="C66" t="s">
        <v>15</v>
      </c>
      <c r="D66">
        <v>64</v>
      </c>
      <c r="E66" s="13"/>
      <c r="F66">
        <v>60471</v>
      </c>
      <c r="G66" s="7">
        <v>46022</v>
      </c>
      <c r="H66" s="2" t="s">
        <v>150</v>
      </c>
      <c r="I66" s="2" t="s">
        <v>17</v>
      </c>
      <c r="J66" s="2" t="s">
        <v>92</v>
      </c>
      <c r="K66" s="2" t="s">
        <v>151</v>
      </c>
      <c r="L66" s="2" t="s">
        <v>20</v>
      </c>
      <c r="M66" s="14" t="s">
        <v>94</v>
      </c>
      <c r="N66" s="2" t="s">
        <v>22</v>
      </c>
      <c r="O66" s="4">
        <v>10000</v>
      </c>
      <c r="P66" s="17">
        <v>11800</v>
      </c>
    </row>
    <row r="67" spans="2:16" x14ac:dyDescent="0.25">
      <c r="B67">
        <v>65</v>
      </c>
      <c r="C67" t="s">
        <v>15</v>
      </c>
      <c r="D67">
        <v>65</v>
      </c>
      <c r="E67" s="13"/>
      <c r="F67">
        <v>60471</v>
      </c>
      <c r="G67" s="7">
        <v>46022</v>
      </c>
      <c r="H67" s="2" t="s">
        <v>152</v>
      </c>
      <c r="I67" s="2" t="s">
        <v>17</v>
      </c>
      <c r="J67" s="2" t="s">
        <v>92</v>
      </c>
      <c r="K67" s="2" t="s">
        <v>153</v>
      </c>
      <c r="L67" s="2" t="s">
        <v>20</v>
      </c>
      <c r="M67" s="14" t="s">
        <v>94</v>
      </c>
      <c r="N67" s="2" t="s">
        <v>22</v>
      </c>
      <c r="O67" s="4">
        <v>10000</v>
      </c>
      <c r="P67" s="17">
        <v>11800</v>
      </c>
    </row>
    <row r="68" spans="2:16" x14ac:dyDescent="0.25">
      <c r="B68">
        <v>66</v>
      </c>
      <c r="C68" t="s">
        <v>15</v>
      </c>
      <c r="D68">
        <v>66</v>
      </c>
      <c r="E68" s="13"/>
      <c r="F68">
        <v>60471</v>
      </c>
      <c r="G68" s="7">
        <v>46022</v>
      </c>
      <c r="H68" s="2" t="s">
        <v>154</v>
      </c>
      <c r="I68" s="2" t="s">
        <v>17</v>
      </c>
      <c r="J68" s="2" t="s">
        <v>92</v>
      </c>
      <c r="K68" s="2" t="s">
        <v>155</v>
      </c>
      <c r="L68" s="2" t="s">
        <v>20</v>
      </c>
      <c r="M68" s="14" t="s">
        <v>94</v>
      </c>
      <c r="N68" s="2" t="s">
        <v>22</v>
      </c>
      <c r="O68" s="4">
        <v>10000</v>
      </c>
      <c r="P68" s="17">
        <v>11800</v>
      </c>
    </row>
    <row r="69" spans="2:16" x14ac:dyDescent="0.25">
      <c r="B69">
        <v>67</v>
      </c>
      <c r="C69" t="s">
        <v>15</v>
      </c>
      <c r="D69">
        <v>67</v>
      </c>
      <c r="E69" s="13"/>
      <c r="F69">
        <v>60471</v>
      </c>
      <c r="G69" s="7">
        <v>46022</v>
      </c>
      <c r="H69" s="2" t="s">
        <v>156</v>
      </c>
      <c r="I69" s="2" t="s">
        <v>17</v>
      </c>
      <c r="J69" s="2" t="s">
        <v>92</v>
      </c>
      <c r="K69" s="2" t="s">
        <v>157</v>
      </c>
      <c r="L69" s="2" t="s">
        <v>20</v>
      </c>
      <c r="M69" s="14" t="s">
        <v>94</v>
      </c>
      <c r="N69" s="2" t="s">
        <v>22</v>
      </c>
      <c r="O69" s="4">
        <v>10000</v>
      </c>
      <c r="P69" s="17">
        <v>11800</v>
      </c>
    </row>
    <row r="70" spans="2:16" x14ac:dyDescent="0.25">
      <c r="B70">
        <v>68</v>
      </c>
      <c r="C70" t="s">
        <v>15</v>
      </c>
      <c r="D70">
        <v>68</v>
      </c>
      <c r="E70" s="13"/>
      <c r="F70">
        <v>60471</v>
      </c>
      <c r="G70" s="7">
        <v>46022</v>
      </c>
      <c r="H70" s="2" t="s">
        <v>158</v>
      </c>
      <c r="I70" s="2" t="s">
        <v>17</v>
      </c>
      <c r="J70" s="2" t="s">
        <v>92</v>
      </c>
      <c r="K70" s="2" t="s">
        <v>159</v>
      </c>
      <c r="L70" s="2" t="s">
        <v>20</v>
      </c>
      <c r="M70" s="14" t="s">
        <v>94</v>
      </c>
      <c r="N70" s="2" t="s">
        <v>22</v>
      </c>
      <c r="O70" s="4">
        <v>10000</v>
      </c>
      <c r="P70" s="17">
        <v>11800</v>
      </c>
    </row>
    <row r="71" spans="2:16" x14ac:dyDescent="0.25">
      <c r="B71">
        <v>69</v>
      </c>
      <c r="C71" t="s">
        <v>15</v>
      </c>
      <c r="D71">
        <v>69</v>
      </c>
      <c r="E71" s="13"/>
      <c r="F71">
        <v>60471</v>
      </c>
      <c r="G71" s="7">
        <v>46022</v>
      </c>
      <c r="H71" s="2" t="s">
        <v>160</v>
      </c>
      <c r="I71" s="2" t="s">
        <v>17</v>
      </c>
      <c r="J71" s="2" t="s">
        <v>92</v>
      </c>
      <c r="K71" s="2" t="s">
        <v>161</v>
      </c>
      <c r="L71" s="2" t="s">
        <v>20</v>
      </c>
      <c r="M71" s="14" t="s">
        <v>94</v>
      </c>
      <c r="N71" s="2" t="s">
        <v>22</v>
      </c>
      <c r="O71" s="4">
        <v>10000</v>
      </c>
      <c r="P71" s="17">
        <v>11800</v>
      </c>
    </row>
    <row r="72" spans="2:16" x14ac:dyDescent="0.25">
      <c r="B72">
        <v>70</v>
      </c>
      <c r="C72" t="s">
        <v>15</v>
      </c>
      <c r="D72">
        <v>70</v>
      </c>
      <c r="E72" s="13"/>
      <c r="F72">
        <v>60471</v>
      </c>
      <c r="G72" s="7">
        <v>46022</v>
      </c>
      <c r="H72" s="2" t="s">
        <v>162</v>
      </c>
      <c r="I72" s="2" t="s">
        <v>17</v>
      </c>
      <c r="J72" s="2" t="s">
        <v>92</v>
      </c>
      <c r="K72" s="2" t="s">
        <v>163</v>
      </c>
      <c r="L72" s="2" t="s">
        <v>20</v>
      </c>
      <c r="M72" s="14" t="s">
        <v>94</v>
      </c>
      <c r="N72" s="2" t="s">
        <v>22</v>
      </c>
      <c r="O72" s="4">
        <v>10000</v>
      </c>
      <c r="P72" s="17">
        <v>11800</v>
      </c>
    </row>
    <row r="73" spans="2:16" x14ac:dyDescent="0.25">
      <c r="B73">
        <v>71</v>
      </c>
      <c r="C73" t="s">
        <v>15</v>
      </c>
      <c r="D73">
        <v>71</v>
      </c>
      <c r="E73" s="13"/>
      <c r="F73">
        <v>60471</v>
      </c>
      <c r="G73" s="7">
        <v>46022</v>
      </c>
      <c r="H73" s="2" t="s">
        <v>164</v>
      </c>
      <c r="I73" s="2" t="s">
        <v>17</v>
      </c>
      <c r="J73" s="2" t="s">
        <v>92</v>
      </c>
      <c r="K73" s="2" t="s">
        <v>165</v>
      </c>
      <c r="L73" s="2" t="s">
        <v>20</v>
      </c>
      <c r="M73" s="14" t="s">
        <v>94</v>
      </c>
      <c r="N73" s="2" t="s">
        <v>22</v>
      </c>
      <c r="O73" s="4">
        <v>10000</v>
      </c>
      <c r="P73" s="17">
        <v>11800</v>
      </c>
    </row>
    <row r="74" spans="2:16" x14ac:dyDescent="0.25">
      <c r="B74">
        <v>72</v>
      </c>
      <c r="C74" t="s">
        <v>15</v>
      </c>
      <c r="D74">
        <v>72</v>
      </c>
      <c r="E74" s="13"/>
      <c r="F74">
        <v>60471</v>
      </c>
      <c r="G74" s="7">
        <v>46022</v>
      </c>
      <c r="H74" s="2" t="s">
        <v>166</v>
      </c>
      <c r="I74" s="2" t="s">
        <v>17</v>
      </c>
      <c r="J74" s="2" t="s">
        <v>92</v>
      </c>
      <c r="K74" s="2" t="s">
        <v>167</v>
      </c>
      <c r="L74" s="2" t="s">
        <v>20</v>
      </c>
      <c r="M74" s="14" t="s">
        <v>94</v>
      </c>
      <c r="N74" s="2" t="s">
        <v>22</v>
      </c>
      <c r="O74" s="4">
        <v>10000</v>
      </c>
      <c r="P74" s="17">
        <v>11800</v>
      </c>
    </row>
    <row r="75" spans="2:16" x14ac:dyDescent="0.25">
      <c r="B75">
        <v>73</v>
      </c>
      <c r="C75" t="s">
        <v>15</v>
      </c>
      <c r="D75">
        <v>73</v>
      </c>
      <c r="E75" s="13"/>
      <c r="F75">
        <v>60471</v>
      </c>
      <c r="G75" s="7">
        <v>46022</v>
      </c>
      <c r="H75" s="2" t="s">
        <v>168</v>
      </c>
      <c r="I75" s="2" t="s">
        <v>17</v>
      </c>
      <c r="J75" s="2" t="s">
        <v>92</v>
      </c>
      <c r="K75" s="2" t="s">
        <v>169</v>
      </c>
      <c r="L75" s="2" t="s">
        <v>20</v>
      </c>
      <c r="M75" s="14" t="s">
        <v>94</v>
      </c>
      <c r="N75" s="2" t="s">
        <v>22</v>
      </c>
      <c r="O75" s="4">
        <v>10000</v>
      </c>
      <c r="P75" s="17">
        <v>11800</v>
      </c>
    </row>
    <row r="76" spans="2:16" x14ac:dyDescent="0.25">
      <c r="B76">
        <v>74</v>
      </c>
      <c r="C76" t="s">
        <v>15</v>
      </c>
      <c r="D76">
        <v>74</v>
      </c>
      <c r="E76" s="13"/>
      <c r="F76">
        <v>60471</v>
      </c>
      <c r="G76" s="7">
        <v>46022</v>
      </c>
      <c r="H76" s="2" t="s">
        <v>170</v>
      </c>
      <c r="I76" s="2" t="s">
        <v>17</v>
      </c>
      <c r="J76" s="2" t="s">
        <v>18</v>
      </c>
      <c r="K76" s="2" t="s">
        <v>171</v>
      </c>
      <c r="L76" s="2" t="s">
        <v>20</v>
      </c>
      <c r="M76" s="14" t="s">
        <v>21</v>
      </c>
      <c r="N76" s="2" t="s">
        <v>22</v>
      </c>
      <c r="O76" s="4">
        <v>10000</v>
      </c>
      <c r="P76" s="17">
        <v>11800</v>
      </c>
    </row>
    <row r="77" spans="2:16" x14ac:dyDescent="0.25">
      <c r="B77">
        <v>75</v>
      </c>
      <c r="C77" t="s">
        <v>15</v>
      </c>
      <c r="D77">
        <v>75</v>
      </c>
      <c r="E77" s="13"/>
      <c r="F77">
        <v>60471</v>
      </c>
      <c r="G77" s="7">
        <v>46022</v>
      </c>
      <c r="H77" s="2" t="s">
        <v>172</v>
      </c>
      <c r="I77" s="2" t="s">
        <v>17</v>
      </c>
      <c r="J77" s="2" t="s">
        <v>18</v>
      </c>
      <c r="K77" s="2" t="s">
        <v>173</v>
      </c>
      <c r="L77" s="2" t="s">
        <v>20</v>
      </c>
      <c r="M77" s="14" t="s">
        <v>21</v>
      </c>
      <c r="N77" s="2" t="s">
        <v>22</v>
      </c>
      <c r="O77" s="4">
        <v>10000</v>
      </c>
      <c r="P77" s="17">
        <v>11800</v>
      </c>
    </row>
    <row r="78" spans="2:16" x14ac:dyDescent="0.25">
      <c r="B78">
        <v>76</v>
      </c>
      <c r="C78" t="s">
        <v>15</v>
      </c>
      <c r="D78">
        <v>76</v>
      </c>
      <c r="E78" s="13"/>
      <c r="F78">
        <v>60471</v>
      </c>
      <c r="G78" s="7">
        <v>46022</v>
      </c>
      <c r="H78" s="2" t="s">
        <v>174</v>
      </c>
      <c r="I78" s="2" t="s">
        <v>17</v>
      </c>
      <c r="J78" s="2" t="s">
        <v>18</v>
      </c>
      <c r="K78" s="2" t="s">
        <v>175</v>
      </c>
      <c r="L78" s="2" t="s">
        <v>20</v>
      </c>
      <c r="M78" s="14" t="s">
        <v>21</v>
      </c>
      <c r="N78" s="2" t="s">
        <v>22</v>
      </c>
      <c r="O78" s="4">
        <v>10000</v>
      </c>
      <c r="P78" s="17">
        <v>11800</v>
      </c>
    </row>
    <row r="79" spans="2:16" x14ac:dyDescent="0.25">
      <c r="B79">
        <v>77</v>
      </c>
      <c r="C79" t="s">
        <v>15</v>
      </c>
      <c r="D79">
        <v>77</v>
      </c>
      <c r="E79" s="13"/>
      <c r="F79">
        <v>60471</v>
      </c>
      <c r="G79" s="7">
        <v>46022</v>
      </c>
      <c r="H79" s="2" t="s">
        <v>176</v>
      </c>
      <c r="I79" s="2" t="s">
        <v>17</v>
      </c>
      <c r="J79" s="2" t="s">
        <v>18</v>
      </c>
      <c r="K79" s="2" t="s">
        <v>177</v>
      </c>
      <c r="L79" s="2" t="s">
        <v>20</v>
      </c>
      <c r="M79" s="14" t="s">
        <v>21</v>
      </c>
      <c r="N79" s="2" t="s">
        <v>22</v>
      </c>
      <c r="O79" s="4">
        <v>10000</v>
      </c>
      <c r="P79" s="17">
        <v>11800</v>
      </c>
    </row>
    <row r="80" spans="2:16" x14ac:dyDescent="0.25">
      <c r="B80">
        <v>78</v>
      </c>
      <c r="C80" t="s">
        <v>15</v>
      </c>
      <c r="D80">
        <v>78</v>
      </c>
      <c r="E80" s="13"/>
      <c r="F80">
        <v>60471</v>
      </c>
      <c r="G80" s="7">
        <v>46022</v>
      </c>
      <c r="H80" s="2" t="s">
        <v>178</v>
      </c>
      <c r="I80" s="2" t="s">
        <v>17</v>
      </c>
      <c r="J80" s="2" t="s">
        <v>18</v>
      </c>
      <c r="K80" s="2" t="s">
        <v>179</v>
      </c>
      <c r="L80" s="2" t="s">
        <v>20</v>
      </c>
      <c r="M80" s="14" t="s">
        <v>21</v>
      </c>
      <c r="N80" s="2" t="s">
        <v>22</v>
      </c>
      <c r="O80" s="4">
        <v>10000</v>
      </c>
      <c r="P80" s="17">
        <v>11800</v>
      </c>
    </row>
    <row r="81" spans="2:16" x14ac:dyDescent="0.25">
      <c r="B81">
        <v>79</v>
      </c>
      <c r="C81" t="s">
        <v>15</v>
      </c>
      <c r="D81">
        <v>79</v>
      </c>
      <c r="E81" s="13"/>
      <c r="F81">
        <v>60471</v>
      </c>
      <c r="G81" s="7">
        <v>46022</v>
      </c>
      <c r="H81" s="2" t="s">
        <v>180</v>
      </c>
      <c r="I81" s="2" t="s">
        <v>17</v>
      </c>
      <c r="J81" s="2" t="s">
        <v>18</v>
      </c>
      <c r="K81" s="2" t="s">
        <v>181</v>
      </c>
      <c r="L81" s="2" t="s">
        <v>20</v>
      </c>
      <c r="M81" s="14" t="s">
        <v>21</v>
      </c>
      <c r="N81" s="2" t="s">
        <v>22</v>
      </c>
      <c r="O81" s="4">
        <v>10000</v>
      </c>
      <c r="P81" s="17">
        <v>11800</v>
      </c>
    </row>
    <row r="82" spans="2:16" x14ac:dyDescent="0.25">
      <c r="B82">
        <v>80</v>
      </c>
      <c r="C82" t="s">
        <v>15</v>
      </c>
      <c r="D82">
        <v>80</v>
      </c>
      <c r="E82" s="13"/>
      <c r="F82">
        <v>60471</v>
      </c>
      <c r="G82" s="7">
        <v>46022</v>
      </c>
      <c r="H82" s="2" t="s">
        <v>182</v>
      </c>
      <c r="I82" s="2" t="s">
        <v>17</v>
      </c>
      <c r="J82" s="2" t="s">
        <v>18</v>
      </c>
      <c r="K82" s="2" t="s">
        <v>183</v>
      </c>
      <c r="L82" s="2" t="s">
        <v>20</v>
      </c>
      <c r="M82" s="14" t="s">
        <v>21</v>
      </c>
      <c r="N82" s="2" t="s">
        <v>22</v>
      </c>
      <c r="O82" s="4">
        <v>10000</v>
      </c>
      <c r="P82" s="17">
        <v>11800</v>
      </c>
    </row>
    <row r="83" spans="2:16" x14ac:dyDescent="0.25">
      <c r="B83">
        <v>81</v>
      </c>
      <c r="C83" t="s">
        <v>15</v>
      </c>
      <c r="D83">
        <v>81</v>
      </c>
      <c r="E83" s="13"/>
      <c r="F83">
        <v>60471</v>
      </c>
      <c r="G83" s="7">
        <v>46022</v>
      </c>
      <c r="H83" s="2" t="s">
        <v>184</v>
      </c>
      <c r="I83" s="2" t="s">
        <v>17</v>
      </c>
      <c r="J83" s="2" t="s">
        <v>18</v>
      </c>
      <c r="K83" s="2" t="s">
        <v>185</v>
      </c>
      <c r="L83" s="2" t="s">
        <v>20</v>
      </c>
      <c r="M83" s="14" t="s">
        <v>21</v>
      </c>
      <c r="N83" s="2" t="s">
        <v>22</v>
      </c>
      <c r="O83" s="4">
        <v>10000</v>
      </c>
      <c r="P83" s="17">
        <v>11800</v>
      </c>
    </row>
    <row r="84" spans="2:16" x14ac:dyDescent="0.25">
      <c r="B84">
        <v>82</v>
      </c>
      <c r="C84" t="s">
        <v>15</v>
      </c>
      <c r="D84">
        <v>82</v>
      </c>
      <c r="E84" s="13"/>
      <c r="F84">
        <v>60471</v>
      </c>
      <c r="G84" s="7">
        <v>46022</v>
      </c>
      <c r="H84" s="2" t="s">
        <v>186</v>
      </c>
      <c r="I84" s="2" t="s">
        <v>17</v>
      </c>
      <c r="J84" s="2" t="s">
        <v>18</v>
      </c>
      <c r="K84" s="2" t="s">
        <v>187</v>
      </c>
      <c r="L84" s="2" t="s">
        <v>20</v>
      </c>
      <c r="M84" s="14" t="s">
        <v>21</v>
      </c>
      <c r="N84" s="2" t="s">
        <v>22</v>
      </c>
      <c r="O84" s="4">
        <v>10000</v>
      </c>
      <c r="P84" s="17">
        <v>11800</v>
      </c>
    </row>
    <row r="85" spans="2:16" x14ac:dyDescent="0.25">
      <c r="B85">
        <v>83</v>
      </c>
      <c r="C85" t="s">
        <v>15</v>
      </c>
      <c r="D85">
        <v>83</v>
      </c>
      <c r="E85" s="13"/>
      <c r="F85">
        <v>60471</v>
      </c>
      <c r="G85" s="7">
        <v>46022</v>
      </c>
      <c r="H85" s="2" t="s">
        <v>188</v>
      </c>
      <c r="I85" s="2" t="s">
        <v>17</v>
      </c>
      <c r="J85" s="2" t="s">
        <v>18</v>
      </c>
      <c r="K85" s="2" t="s">
        <v>189</v>
      </c>
      <c r="L85" s="2" t="s">
        <v>20</v>
      </c>
      <c r="M85" s="14" t="s">
        <v>21</v>
      </c>
      <c r="N85" s="2" t="s">
        <v>22</v>
      </c>
      <c r="O85" s="4">
        <v>10000</v>
      </c>
      <c r="P85" s="17">
        <v>11800</v>
      </c>
    </row>
    <row r="86" spans="2:16" x14ac:dyDescent="0.25">
      <c r="B86">
        <v>84</v>
      </c>
      <c r="C86" t="s">
        <v>15</v>
      </c>
      <c r="D86">
        <v>84</v>
      </c>
      <c r="E86" s="13"/>
      <c r="F86">
        <v>60471</v>
      </c>
      <c r="G86" s="7">
        <v>46022</v>
      </c>
      <c r="H86" s="2" t="s">
        <v>190</v>
      </c>
      <c r="I86" s="2" t="s">
        <v>17</v>
      </c>
      <c r="J86" s="2" t="s">
        <v>18</v>
      </c>
      <c r="K86" s="2" t="s">
        <v>191</v>
      </c>
      <c r="L86" s="2" t="s">
        <v>20</v>
      </c>
      <c r="M86" s="14" t="s">
        <v>21</v>
      </c>
      <c r="N86" s="2" t="s">
        <v>22</v>
      </c>
      <c r="O86" s="4">
        <v>10000</v>
      </c>
      <c r="P86" s="17">
        <v>11800</v>
      </c>
    </row>
    <row r="87" spans="2:16" x14ac:dyDescent="0.25">
      <c r="B87">
        <v>85</v>
      </c>
      <c r="C87" t="s">
        <v>15</v>
      </c>
      <c r="D87">
        <v>85</v>
      </c>
      <c r="E87" s="13"/>
      <c r="F87">
        <v>60471</v>
      </c>
      <c r="G87" s="7">
        <v>46022</v>
      </c>
      <c r="H87" s="2" t="s">
        <v>192</v>
      </c>
      <c r="I87" s="2" t="s">
        <v>17</v>
      </c>
      <c r="J87" s="2" t="s">
        <v>18</v>
      </c>
      <c r="K87" s="2" t="s">
        <v>193</v>
      </c>
      <c r="L87" s="2" t="s">
        <v>20</v>
      </c>
      <c r="M87" s="14" t="s">
        <v>21</v>
      </c>
      <c r="N87" s="2" t="s">
        <v>22</v>
      </c>
      <c r="O87" s="4">
        <v>10000</v>
      </c>
      <c r="P87" s="17">
        <v>11800</v>
      </c>
    </row>
    <row r="88" spans="2:16" x14ac:dyDescent="0.25">
      <c r="B88">
        <v>86</v>
      </c>
      <c r="C88" t="s">
        <v>15</v>
      </c>
      <c r="D88">
        <v>86</v>
      </c>
      <c r="E88" s="13"/>
      <c r="F88">
        <v>60471</v>
      </c>
      <c r="G88" s="7">
        <v>46022</v>
      </c>
      <c r="H88" s="2" t="s">
        <v>194</v>
      </c>
      <c r="I88" s="2" t="s">
        <v>17</v>
      </c>
      <c r="J88" s="2" t="s">
        <v>18</v>
      </c>
      <c r="K88" s="2" t="s">
        <v>195</v>
      </c>
      <c r="L88" s="2" t="s">
        <v>20</v>
      </c>
      <c r="M88" s="14" t="s">
        <v>21</v>
      </c>
      <c r="N88" s="2" t="s">
        <v>22</v>
      </c>
      <c r="O88" s="4">
        <v>10000</v>
      </c>
      <c r="P88" s="17">
        <v>11800</v>
      </c>
    </row>
    <row r="89" spans="2:16" x14ac:dyDescent="0.25">
      <c r="B89">
        <v>87</v>
      </c>
      <c r="C89" t="s">
        <v>15</v>
      </c>
      <c r="D89">
        <v>87</v>
      </c>
      <c r="E89" s="13"/>
      <c r="F89">
        <v>60471</v>
      </c>
      <c r="G89" s="7">
        <v>46022</v>
      </c>
      <c r="H89" s="2" t="s">
        <v>196</v>
      </c>
      <c r="I89" s="2" t="s">
        <v>17</v>
      </c>
      <c r="J89" s="2" t="s">
        <v>18</v>
      </c>
      <c r="K89" s="2" t="s">
        <v>197</v>
      </c>
      <c r="L89" s="2" t="s">
        <v>20</v>
      </c>
      <c r="M89" s="14" t="s">
        <v>21</v>
      </c>
      <c r="N89" s="2" t="s">
        <v>22</v>
      </c>
      <c r="O89" s="4">
        <v>10000</v>
      </c>
      <c r="P89" s="17">
        <v>11800</v>
      </c>
    </row>
    <row r="90" spans="2:16" x14ac:dyDescent="0.25">
      <c r="B90">
        <v>88</v>
      </c>
      <c r="C90" t="s">
        <v>15</v>
      </c>
      <c r="D90">
        <v>88</v>
      </c>
      <c r="E90" s="13"/>
      <c r="F90">
        <v>60471</v>
      </c>
      <c r="G90" s="7">
        <v>46022</v>
      </c>
      <c r="H90" s="2" t="s">
        <v>198</v>
      </c>
      <c r="I90" s="2" t="s">
        <v>17</v>
      </c>
      <c r="J90" s="2" t="s">
        <v>18</v>
      </c>
      <c r="K90" s="2" t="s">
        <v>199</v>
      </c>
      <c r="L90" s="2" t="s">
        <v>20</v>
      </c>
      <c r="M90" s="14" t="s">
        <v>21</v>
      </c>
      <c r="N90" s="2" t="s">
        <v>22</v>
      </c>
      <c r="O90" s="4">
        <v>10000</v>
      </c>
      <c r="P90" s="17">
        <v>11800</v>
      </c>
    </row>
    <row r="91" spans="2:16" x14ac:dyDescent="0.25">
      <c r="B91">
        <v>89</v>
      </c>
      <c r="C91" t="s">
        <v>15</v>
      </c>
      <c r="D91">
        <v>89</v>
      </c>
      <c r="E91" s="13"/>
      <c r="F91">
        <v>60471</v>
      </c>
      <c r="G91" s="7">
        <v>46022</v>
      </c>
      <c r="H91" s="2" t="s">
        <v>200</v>
      </c>
      <c r="I91" s="2" t="s">
        <v>17</v>
      </c>
      <c r="J91" s="2" t="s">
        <v>18</v>
      </c>
      <c r="K91" s="2" t="s">
        <v>201</v>
      </c>
      <c r="L91" s="2" t="s">
        <v>20</v>
      </c>
      <c r="M91" s="14" t="s">
        <v>21</v>
      </c>
      <c r="N91" s="2" t="s">
        <v>22</v>
      </c>
      <c r="O91" s="4">
        <v>10000</v>
      </c>
      <c r="P91" s="17">
        <v>11800</v>
      </c>
    </row>
    <row r="92" spans="2:16" x14ac:dyDescent="0.25">
      <c r="B92">
        <v>90</v>
      </c>
      <c r="C92" t="s">
        <v>15</v>
      </c>
      <c r="D92">
        <v>90</v>
      </c>
      <c r="E92" s="13"/>
      <c r="F92">
        <v>60471</v>
      </c>
      <c r="G92" s="7">
        <v>46022</v>
      </c>
      <c r="H92" s="2" t="s">
        <v>202</v>
      </c>
      <c r="I92" s="2" t="s">
        <v>17</v>
      </c>
      <c r="J92" s="2" t="s">
        <v>18</v>
      </c>
      <c r="K92" s="2" t="s">
        <v>203</v>
      </c>
      <c r="L92" s="2" t="s">
        <v>20</v>
      </c>
      <c r="M92" s="14" t="s">
        <v>21</v>
      </c>
      <c r="N92" s="2" t="s">
        <v>22</v>
      </c>
      <c r="O92" s="4">
        <v>10000</v>
      </c>
      <c r="P92" s="17">
        <v>11800</v>
      </c>
    </row>
    <row r="93" spans="2:16" x14ac:dyDescent="0.25">
      <c r="B93">
        <v>91</v>
      </c>
      <c r="C93" t="s">
        <v>15</v>
      </c>
      <c r="D93">
        <v>91</v>
      </c>
      <c r="E93" s="13"/>
      <c r="F93">
        <v>60471</v>
      </c>
      <c r="G93" s="7">
        <v>46022</v>
      </c>
      <c r="H93" s="2" t="s">
        <v>204</v>
      </c>
      <c r="I93" s="2" t="s">
        <v>17</v>
      </c>
      <c r="J93" s="2" t="s">
        <v>18</v>
      </c>
      <c r="K93" s="2" t="s">
        <v>205</v>
      </c>
      <c r="L93" s="2" t="s">
        <v>20</v>
      </c>
      <c r="M93" s="14" t="s">
        <v>21</v>
      </c>
      <c r="N93" s="2" t="s">
        <v>22</v>
      </c>
      <c r="O93" s="4">
        <v>10000</v>
      </c>
      <c r="P93" s="17">
        <v>11800</v>
      </c>
    </row>
    <row r="94" spans="2:16" x14ac:dyDescent="0.25">
      <c r="B94">
        <v>92</v>
      </c>
      <c r="C94" t="s">
        <v>15</v>
      </c>
      <c r="D94">
        <v>92</v>
      </c>
      <c r="E94" s="13"/>
      <c r="F94">
        <v>60471</v>
      </c>
      <c r="G94" s="7">
        <v>46022</v>
      </c>
      <c r="H94" s="2" t="s">
        <v>206</v>
      </c>
      <c r="I94" s="2" t="s">
        <v>17</v>
      </c>
      <c r="J94" s="2" t="s">
        <v>18</v>
      </c>
      <c r="K94" s="2" t="s">
        <v>207</v>
      </c>
      <c r="L94" s="2" t="s">
        <v>20</v>
      </c>
      <c r="M94" s="14" t="s">
        <v>21</v>
      </c>
      <c r="N94" s="2" t="s">
        <v>22</v>
      </c>
      <c r="O94" s="4">
        <v>10000</v>
      </c>
      <c r="P94" s="17">
        <v>11800</v>
      </c>
    </row>
    <row r="95" spans="2:16" x14ac:dyDescent="0.25">
      <c r="B95">
        <v>93</v>
      </c>
      <c r="C95" t="s">
        <v>15</v>
      </c>
      <c r="D95">
        <v>93</v>
      </c>
      <c r="E95" s="13"/>
      <c r="F95">
        <v>60471</v>
      </c>
      <c r="G95" s="7">
        <v>46022</v>
      </c>
      <c r="H95" s="2" t="s">
        <v>208</v>
      </c>
      <c r="I95" s="2" t="s">
        <v>17</v>
      </c>
      <c r="J95" s="2" t="s">
        <v>18</v>
      </c>
      <c r="K95" s="2" t="s">
        <v>209</v>
      </c>
      <c r="L95" s="2" t="s">
        <v>20</v>
      </c>
      <c r="M95" s="14" t="s">
        <v>21</v>
      </c>
      <c r="N95" s="2" t="s">
        <v>22</v>
      </c>
      <c r="O95" s="4">
        <v>10000</v>
      </c>
      <c r="P95" s="17">
        <v>11800</v>
      </c>
    </row>
    <row r="96" spans="2:16" x14ac:dyDescent="0.25">
      <c r="B96">
        <v>94</v>
      </c>
      <c r="C96" t="s">
        <v>15</v>
      </c>
      <c r="D96">
        <v>94</v>
      </c>
      <c r="E96" s="13"/>
      <c r="F96">
        <v>60471</v>
      </c>
      <c r="G96" s="7">
        <v>46022</v>
      </c>
      <c r="H96" s="2" t="s">
        <v>210</v>
      </c>
      <c r="I96" s="2" t="s">
        <v>17</v>
      </c>
      <c r="J96" s="2" t="s">
        <v>18</v>
      </c>
      <c r="K96" s="2" t="s">
        <v>211</v>
      </c>
      <c r="L96" s="2" t="s">
        <v>20</v>
      </c>
      <c r="M96" s="14" t="s">
        <v>21</v>
      </c>
      <c r="N96" s="2" t="s">
        <v>22</v>
      </c>
      <c r="O96" s="4">
        <v>10000</v>
      </c>
      <c r="P96" s="17">
        <v>11800</v>
      </c>
    </row>
    <row r="97" spans="2:16" x14ac:dyDescent="0.25">
      <c r="B97">
        <v>95</v>
      </c>
      <c r="C97" t="s">
        <v>15</v>
      </c>
      <c r="D97">
        <v>95</v>
      </c>
      <c r="E97" s="13"/>
      <c r="F97">
        <v>60471</v>
      </c>
      <c r="G97" s="7">
        <v>46022</v>
      </c>
      <c r="H97" s="2" t="s">
        <v>212</v>
      </c>
      <c r="I97" s="2" t="s">
        <v>17</v>
      </c>
      <c r="J97" s="2" t="s">
        <v>18</v>
      </c>
      <c r="K97" s="2" t="s">
        <v>213</v>
      </c>
      <c r="L97" s="2" t="s">
        <v>20</v>
      </c>
      <c r="M97" s="14" t="s">
        <v>21</v>
      </c>
      <c r="N97" s="2" t="s">
        <v>22</v>
      </c>
      <c r="O97" s="4">
        <v>10000</v>
      </c>
      <c r="P97" s="17">
        <v>11800</v>
      </c>
    </row>
    <row r="98" spans="2:16" x14ac:dyDescent="0.25">
      <c r="B98">
        <v>96</v>
      </c>
      <c r="C98" t="s">
        <v>15</v>
      </c>
      <c r="D98">
        <v>96</v>
      </c>
      <c r="E98" s="13"/>
      <c r="F98">
        <v>60471</v>
      </c>
      <c r="G98" s="7">
        <v>46022</v>
      </c>
      <c r="H98" s="2" t="s">
        <v>214</v>
      </c>
      <c r="I98" s="2" t="s">
        <v>17</v>
      </c>
      <c r="J98" s="2" t="s">
        <v>18</v>
      </c>
      <c r="K98" s="2" t="s">
        <v>215</v>
      </c>
      <c r="L98" s="2" t="s">
        <v>20</v>
      </c>
      <c r="M98" s="14" t="s">
        <v>21</v>
      </c>
      <c r="N98" s="2" t="s">
        <v>22</v>
      </c>
      <c r="O98" s="4">
        <v>10000</v>
      </c>
      <c r="P98" s="17">
        <v>11800</v>
      </c>
    </row>
    <row r="99" spans="2:16" x14ac:dyDescent="0.25">
      <c r="B99">
        <v>97</v>
      </c>
      <c r="C99" t="s">
        <v>15</v>
      </c>
      <c r="D99">
        <v>97</v>
      </c>
      <c r="E99" s="13"/>
      <c r="F99">
        <v>60471</v>
      </c>
      <c r="G99" s="7">
        <v>46022</v>
      </c>
      <c r="H99" s="2" t="s">
        <v>216</v>
      </c>
      <c r="I99" s="2" t="s">
        <v>17</v>
      </c>
      <c r="J99" s="2" t="s">
        <v>18</v>
      </c>
      <c r="K99" s="2" t="s">
        <v>217</v>
      </c>
      <c r="L99" s="2" t="s">
        <v>20</v>
      </c>
      <c r="M99" s="14" t="s">
        <v>21</v>
      </c>
      <c r="N99" s="2" t="s">
        <v>22</v>
      </c>
      <c r="O99" s="4">
        <v>10000</v>
      </c>
      <c r="P99" s="17">
        <v>11800</v>
      </c>
    </row>
    <row r="100" spans="2:16" x14ac:dyDescent="0.25">
      <c r="B100">
        <v>98</v>
      </c>
      <c r="C100" t="s">
        <v>15</v>
      </c>
      <c r="D100">
        <v>98</v>
      </c>
      <c r="E100" s="13"/>
      <c r="F100">
        <v>60471</v>
      </c>
      <c r="G100" s="7">
        <v>46022</v>
      </c>
      <c r="H100" s="2" t="s">
        <v>218</v>
      </c>
      <c r="I100" s="2" t="s">
        <v>17</v>
      </c>
      <c r="J100" s="2" t="s">
        <v>18</v>
      </c>
      <c r="K100" s="2" t="s">
        <v>219</v>
      </c>
      <c r="L100" s="2" t="s">
        <v>20</v>
      </c>
      <c r="M100" s="14" t="s">
        <v>21</v>
      </c>
      <c r="N100" s="2" t="s">
        <v>22</v>
      </c>
      <c r="O100" s="4">
        <v>10000</v>
      </c>
      <c r="P100" s="17">
        <v>11800</v>
      </c>
    </row>
    <row r="101" spans="2:16" x14ac:dyDescent="0.25">
      <c r="B101">
        <v>99</v>
      </c>
      <c r="C101" t="s">
        <v>15</v>
      </c>
      <c r="D101">
        <v>99</v>
      </c>
      <c r="E101" s="13"/>
      <c r="F101">
        <v>60471</v>
      </c>
      <c r="G101" s="7">
        <v>46022</v>
      </c>
      <c r="H101" s="2" t="s">
        <v>220</v>
      </c>
      <c r="I101" s="2" t="s">
        <v>17</v>
      </c>
      <c r="J101" s="2" t="s">
        <v>18</v>
      </c>
      <c r="K101" s="2" t="s">
        <v>221</v>
      </c>
      <c r="L101" s="2" t="s">
        <v>20</v>
      </c>
      <c r="M101" s="14" t="s">
        <v>21</v>
      </c>
      <c r="N101" s="2" t="s">
        <v>22</v>
      </c>
      <c r="O101" s="4">
        <v>10000</v>
      </c>
      <c r="P101" s="17">
        <v>11800</v>
      </c>
    </row>
    <row r="102" spans="2:16" x14ac:dyDescent="0.25">
      <c r="B102">
        <v>100</v>
      </c>
      <c r="C102" t="s">
        <v>15</v>
      </c>
      <c r="D102">
        <v>100</v>
      </c>
      <c r="E102" s="13"/>
      <c r="F102">
        <v>60471</v>
      </c>
      <c r="G102" s="7">
        <v>46022</v>
      </c>
      <c r="H102" s="2" t="s">
        <v>222</v>
      </c>
      <c r="I102" s="2" t="s">
        <v>17</v>
      </c>
      <c r="J102" s="2" t="s">
        <v>18</v>
      </c>
      <c r="K102" s="2" t="s">
        <v>223</v>
      </c>
      <c r="L102" s="2" t="s">
        <v>20</v>
      </c>
      <c r="M102" s="14" t="s">
        <v>21</v>
      </c>
      <c r="N102" s="2" t="s">
        <v>22</v>
      </c>
      <c r="O102" s="4">
        <v>10000</v>
      </c>
      <c r="P102" s="17">
        <v>11800</v>
      </c>
    </row>
    <row r="103" spans="2:16" x14ac:dyDescent="0.25">
      <c r="B103">
        <v>101</v>
      </c>
      <c r="C103" t="s">
        <v>15</v>
      </c>
      <c r="D103">
        <v>101</v>
      </c>
      <c r="E103" s="13"/>
      <c r="F103">
        <v>60471</v>
      </c>
      <c r="G103" s="7">
        <v>46022</v>
      </c>
      <c r="H103" s="2" t="s">
        <v>224</v>
      </c>
      <c r="I103" s="2" t="s">
        <v>17</v>
      </c>
      <c r="J103" s="2" t="s">
        <v>18</v>
      </c>
      <c r="K103" s="2" t="s">
        <v>225</v>
      </c>
      <c r="L103" s="2" t="s">
        <v>20</v>
      </c>
      <c r="M103" s="14" t="s">
        <v>21</v>
      </c>
      <c r="N103" s="2" t="s">
        <v>22</v>
      </c>
      <c r="O103" s="4">
        <v>10000</v>
      </c>
      <c r="P103" s="17">
        <v>11800</v>
      </c>
    </row>
    <row r="104" spans="2:16" x14ac:dyDescent="0.25">
      <c r="E104" s="13"/>
      <c r="M104" s="14"/>
      <c r="O104" s="4">
        <f>SUBTOTAL(109,Table1[סכום לפני מעמ2])</f>
        <v>1001000</v>
      </c>
      <c r="P104" s="17">
        <f>SUBTOTAL(109,Table1[סכום כולל מע"מ])</f>
        <v>1181180</v>
      </c>
    </row>
    <row r="106" spans="2:16" x14ac:dyDescent="0.25">
      <c r="P106" s="17">
        <f>Table1[[#Totals],[סכום כולל מע"מ]]-Table1[[#Totals],[סכום לפני מעמ2]]</f>
        <v>180180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2026-02-22T05:48:18Z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