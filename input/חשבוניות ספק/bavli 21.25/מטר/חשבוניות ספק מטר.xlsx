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חשבוניו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\-mm\-dd\ h:mm:ss"/>
  </numFmts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3" fillId="0" borderId="0"/>
    <xf numFmtId="43" fontId="3" fillId="0" borderId="0"/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righ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2" fontId="3" fillId="0" borderId="0" pivotButton="0" quotePrefix="0" xfId="1"/>
    <xf numFmtId="2" fontId="3" fillId="0" borderId="0" pivotButton="0" quotePrefix="0" xfId="0"/>
    <xf numFmtId="2" fontId="2" fillId="0" borderId="0" pivotButton="0" quotePrefix="0" xfId="1"/>
    <xf numFmtId="2" fontId="0" fillId="0" borderId="0" pivotButton="0" quotePrefix="0" xfId="0"/>
    <xf numFmtId="2" fontId="0" fillId="0" borderId="0" pivotButton="0" quotePrefix="0" xfId="0"/>
    <xf numFmtId="2" fontId="0" fillId="0" borderId="0" pivotButton="0" quotePrefix="0" xfId="0"/>
  </cellXfs>
  <cellStyles count="3">
    <cellStyle name="Normal" xfId="0" builtinId="0"/>
    <cellStyle name="Comma" xfId="1" builtinId="3"/>
    <cellStyle name="Normal 2" xfId="2"/>
  </cellStyles>
  <dxfs count="34">
    <dxf>
      <numFmt numFmtId="2" formatCode="0.00"/>
    </dxf>
    <dxf>
      <numFmt numFmtId="2" formatCode="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numFmt numFmtId="30" formatCode="@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fgColor indexed="64"/>
          <bgColor indexed="65"/>
        </patternFill>
      </fill>
      <alignment horizontal="right" vertical="bottom"/>
    </dxf>
    <dxf>
      <numFmt numFmtId="164" formatCode="d/m/yyyy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numFmt numFmtId="2" formatCode="0.00"/>
      <fill>
        <patternFill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  <alignment horizontal="right" vertical="bottom"/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B2:Q157" headerRowCount="1" totalsRowCount="1" headerRowDxfId="33" dataDxfId="32" headerRowCellStyle="Comma">
  <autoFilter ref="B2:Q156"/>
  <tableColumns count="16">
    <tableColumn id="1" name="מס" dataDxfId="31" totalsRowDxfId="15"/>
    <tableColumn id="20" name="שם קובץ חשבונית" dataDxfId="30" totalsRowDxfId="14"/>
    <tableColumn id="21" name="מספר עמוד" dataDxfId="29" totalsRowDxfId="13"/>
    <tableColumn id="5" name="חשבונית שנוצרה" dataDxfId="28" totalsRowDxfId="12"/>
    <tableColumn id="13" name="מספר ספק" dataDxfId="27" totalsRowDxfId="11"/>
    <tableColumn id="2" name="תאריך חשבונית" dataDxfId="26" totalsRowDxfId="10"/>
    <tableColumn id="15" name="מספר חשבונית" dataDxfId="25" totalsRowDxfId="9"/>
    <tableColumn id="16" name="סניף" dataDxfId="24" totalsRowDxfId="8"/>
    <tableColumn id="17" name="פרטים" dataDxfId="23" totalsRowDxfId="7"/>
    <tableColumn id="18" name="מספר הקצאה" dataDxfId="22" totalsRowDxfId="6"/>
    <tableColumn id="12" name="מקט" dataDxfId="21" totalsRowDxfId="5"/>
    <tableColumn id="3" name="תאור המוצר" dataDxfId="20" totalsRowDxfId="4"/>
    <tableColumn id="4" name="חשבון הוצאות " dataDxfId="19" totalsRowDxfId="3"/>
    <tableColumn id="9" name="סכום לפני מעמ2" totalsRowFunction="sum" dataDxfId="18" totalsRowDxfId="2" dataCellStyle="Comma">
      <calculatedColumnFormula>P3/1.18</calculatedColumnFormula>
    </tableColumn>
    <tableColumn id="10" name="סכום כולל מע&quot;מ" totalsRowFunction="custom" dataDxfId="17" totalsRowDxfId="1" dataCellStyle="Comma" totalsRowCellStyle="Comma">
      <totalsRowFormula>SUBTOTAL(109,Table1[סכום לפני מעמ2])</totalsRowFormula>
    </tableColumn>
    <tableColumn id="6" name="Column1" totalsRowFunction="custom" dataDxfId="16" totalsRowDxfId="0" totalsRowCellStyle="Comma">
      <calculatedColumnFormula>Table1[[#This Row],[סכום כולל מע"מ]]-Table1[[#This Row],[סכום לפני מעמ2]]</calculatedColumnFormula>
      <totalsRowFormula>SUBTOTAL(109,Table1[סכום לפני מעמ2])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57"/>
  <sheetViews>
    <sheetView rightToLeft="1" tabSelected="1" topLeftCell="H154" zoomScale="130" zoomScaleNormal="130" workbookViewId="0">
      <selection activeCell="Q154" sqref="H154:Q157"/>
    </sheetView>
  </sheetViews>
  <sheetFormatPr baseColWidth="8" defaultRowHeight="15.75"/>
  <cols>
    <col width="4.75" customWidth="1" style="10" min="2" max="2"/>
    <col width="11.25" customWidth="1" style="10" min="3" max="3"/>
    <col width="11.125" customWidth="1" style="10" min="4" max="4"/>
    <col width="14.625" customWidth="1" style="10" min="5" max="5"/>
    <col width="12.125" customWidth="1" style="10" min="6" max="6"/>
    <col width="17.875" customWidth="1" style="12" min="7" max="7"/>
    <col width="17.25" customWidth="1" style="13" min="8" max="8"/>
    <col width="8.875" customWidth="1" style="14" min="9" max="9"/>
    <col width="13.75" customWidth="1" style="14" min="10" max="11"/>
    <col width="8" customWidth="1" style="14" min="12" max="12"/>
    <col width="42.875" customWidth="1" style="10" min="13" max="13"/>
    <col width="10.625" customWidth="1" style="14" min="14" max="14"/>
    <col width="14.75" customWidth="1" style="16" min="15" max="15"/>
    <col width="14.25" customWidth="1" style="16" min="16" max="16"/>
    <col width="13.375" customWidth="1" style="21" min="17" max="17"/>
  </cols>
  <sheetData>
    <row r="2" customFormat="1" s="1">
      <c r="B2" s="1" t="inlineStr">
        <is>
          <t>מס</t>
        </is>
      </c>
      <c r="C2" s="1" t="inlineStr">
        <is>
          <t>שם קובץ חשבונית</t>
        </is>
      </c>
      <c r="D2" s="1" t="inlineStr">
        <is>
          <t>מספר עמוד</t>
        </is>
      </c>
      <c r="E2" s="1" t="inlineStr">
        <is>
          <t>חשבונית שנוצרה</t>
        </is>
      </c>
      <c r="F2" s="1" t="inlineStr">
        <is>
          <t>מספר ספק</t>
        </is>
      </c>
      <c r="G2" s="4" t="inlineStr">
        <is>
          <t>תאריך חשבונית</t>
        </is>
      </c>
      <c r="H2" s="15" t="inlineStr">
        <is>
          <t>מספר חשבונית</t>
        </is>
      </c>
      <c r="I2" s="3" t="inlineStr">
        <is>
          <t>סניף</t>
        </is>
      </c>
      <c r="J2" s="3" t="inlineStr">
        <is>
          <t>פרטים</t>
        </is>
      </c>
      <c r="K2" s="3" t="inlineStr">
        <is>
          <t>מספר הקצאה</t>
        </is>
      </c>
      <c r="L2" s="3" t="inlineStr">
        <is>
          <t>מקט</t>
        </is>
      </c>
      <c r="M2" s="1" t="inlineStr">
        <is>
          <t>תאור המוצר</t>
        </is>
      </c>
      <c r="N2" s="3" t="inlineStr">
        <is>
          <t xml:space="preserve">חשבון הוצאות </t>
        </is>
      </c>
      <c r="O2" s="16" t="inlineStr">
        <is>
          <t>סכום לפני מעמ2</t>
        </is>
      </c>
      <c r="P2" s="16" t="inlineStr">
        <is>
          <t>סכום כולל מע"מ</t>
        </is>
      </c>
      <c r="Q2" s="18" t="inlineStr">
        <is>
          <t>Column1</t>
        </is>
      </c>
    </row>
    <row r="3">
      <c r="B3" t="n">
        <v>1</v>
      </c>
      <c r="C3" t="inlineStr">
        <is>
          <t>חשבוניות מטר</t>
        </is>
      </c>
      <c r="D3" t="n">
        <v>1</v>
      </c>
      <c r="E3" t="inlineStr">
        <is>
          <t>015-25-000478</t>
        </is>
      </c>
      <c r="F3" t="n">
        <v>60476</v>
      </c>
      <c r="G3" s="6" t="n">
        <v>46022</v>
      </c>
      <c r="H3" s="15" t="n">
        <v>8289</v>
      </c>
      <c r="I3" t="inlineStr">
        <is>
          <t>015</t>
        </is>
      </c>
      <c r="J3" t="inlineStr">
        <is>
          <t>עבודות עפר</t>
        </is>
      </c>
      <c r="L3" t="inlineStr">
        <is>
          <t>000</t>
        </is>
      </c>
      <c r="M3" t="inlineStr">
        <is>
          <t>עבור עבודות עפר</t>
        </is>
      </c>
      <c r="N3" t="inlineStr">
        <is>
          <t>2112-015</t>
        </is>
      </c>
      <c r="O3" s="16" t="n">
        <v>15184</v>
      </c>
      <c r="P3" s="16" t="n">
        <v>17917.12</v>
      </c>
      <c r="Q3" s="21">
        <f>Table1[[#This Row],[סכום כולל מע"מ]]-Table1[[#This Row],[סכום לפני מעמ2]]</f>
        <v/>
      </c>
    </row>
    <row r="4">
      <c r="B4" t="n">
        <v>2</v>
      </c>
      <c r="C4" t="inlineStr">
        <is>
          <t>חשבוניות מטר</t>
        </is>
      </c>
      <c r="D4" t="n">
        <v>2</v>
      </c>
      <c r="E4" t="inlineStr">
        <is>
          <t>015-25-000479</t>
        </is>
      </c>
      <c r="F4" t="n">
        <v>60476</v>
      </c>
      <c r="G4" s="6" t="n">
        <v>46022</v>
      </c>
      <c r="H4" s="15" t="n">
        <v>8288</v>
      </c>
      <c r="I4" t="inlineStr">
        <is>
          <t>015</t>
        </is>
      </c>
      <c r="J4" t="inlineStr">
        <is>
          <t>עבודות בניה</t>
        </is>
      </c>
      <c r="L4" t="inlineStr">
        <is>
          <t>000</t>
        </is>
      </c>
      <c r="M4" t="inlineStr">
        <is>
          <t>עבור עבודות בניה</t>
        </is>
      </c>
      <c r="N4" t="inlineStr">
        <is>
          <t>2112-015</t>
        </is>
      </c>
      <c r="O4" s="16" t="n">
        <v>19000</v>
      </c>
      <c r="P4" s="16" t="n">
        <v>22420</v>
      </c>
      <c r="Q4" s="21">
        <f>Table1[[#This Row],[סכום כולל מע"מ]]-Table1[[#This Row],[סכום לפני מעמ2]]</f>
        <v/>
      </c>
    </row>
    <row r="5">
      <c r="B5" t="n">
        <v>3</v>
      </c>
      <c r="C5" t="inlineStr">
        <is>
          <t>חשבוניות מטר</t>
        </is>
      </c>
      <c r="D5" t="n">
        <v>3</v>
      </c>
      <c r="E5" s="11" t="inlineStr">
        <is>
          <t>015-25-000480</t>
        </is>
      </c>
      <c r="F5" t="n">
        <v>60476</v>
      </c>
      <c r="G5" s="12" t="n">
        <v>46022</v>
      </c>
      <c r="H5" s="13" t="n">
        <v>8287</v>
      </c>
      <c r="I5" s="14" t="inlineStr">
        <is>
          <t>015</t>
        </is>
      </c>
      <c r="J5" s="14" t="inlineStr">
        <is>
          <t>עבודות שלד</t>
        </is>
      </c>
      <c r="L5" s="14" t="inlineStr">
        <is>
          <t>000</t>
        </is>
      </c>
      <c r="M5" s="15" t="inlineStr">
        <is>
          <t>עבור עבודות שלד</t>
        </is>
      </c>
      <c r="N5" s="14" t="inlineStr">
        <is>
          <t>2112-015</t>
        </is>
      </c>
      <c r="O5" s="16" t="n">
        <v>19900</v>
      </c>
      <c r="P5" s="16" t="n">
        <v>23482</v>
      </c>
      <c r="Q5" s="21">
        <f>Table1[[#This Row],[סכום כולל מע"מ]]-Table1[[#This Row],[סכום לפני מעמ2]]</f>
        <v/>
      </c>
    </row>
    <row r="6">
      <c r="B6" t="n">
        <v>4</v>
      </c>
      <c r="C6" t="inlineStr">
        <is>
          <t>חשבוניות מטר</t>
        </is>
      </c>
      <c r="D6" t="n">
        <v>4</v>
      </c>
      <c r="E6" s="11" t="inlineStr">
        <is>
          <t>015-25-000481</t>
        </is>
      </c>
      <c r="F6" t="n">
        <v>60476</v>
      </c>
      <c r="G6" s="12" t="n">
        <v>46022</v>
      </c>
      <c r="H6" s="13" t="n">
        <v>8286</v>
      </c>
      <c r="I6" s="14" t="inlineStr">
        <is>
          <t>015</t>
        </is>
      </c>
      <c r="J6" s="14" t="inlineStr">
        <is>
          <t>עבודות עפר</t>
        </is>
      </c>
      <c r="L6" s="14" t="inlineStr">
        <is>
          <t>000</t>
        </is>
      </c>
      <c r="M6" s="15" t="inlineStr">
        <is>
          <t>עבור עבודות עפר</t>
        </is>
      </c>
      <c r="N6" s="14" t="inlineStr">
        <is>
          <t>2112-015</t>
        </is>
      </c>
      <c r="O6" s="16" t="n">
        <v>19800</v>
      </c>
      <c r="P6" s="16" t="n">
        <v>23364</v>
      </c>
      <c r="Q6" s="21">
        <f>Table1[[#This Row],[סכום כולל מע"מ]]-Table1[[#This Row],[סכום לפני מעמ2]]</f>
        <v/>
      </c>
    </row>
    <row r="7">
      <c r="B7" t="n">
        <v>5</v>
      </c>
      <c r="C7" t="inlineStr">
        <is>
          <t>חשבוניות מטר</t>
        </is>
      </c>
      <c r="D7" t="n">
        <v>5</v>
      </c>
      <c r="E7" s="11" t="inlineStr">
        <is>
          <t>015-25-000482</t>
        </is>
      </c>
      <c r="F7" t="n">
        <v>60476</v>
      </c>
      <c r="G7" s="12" t="n">
        <v>46022</v>
      </c>
      <c r="H7" s="13" t="n">
        <v>8285</v>
      </c>
      <c r="I7" s="14" t="inlineStr">
        <is>
          <t>015</t>
        </is>
      </c>
      <c r="J7" s="14" t="inlineStr">
        <is>
          <t>עבודות שלד</t>
        </is>
      </c>
      <c r="L7" s="14" t="inlineStr">
        <is>
          <t>000</t>
        </is>
      </c>
      <c r="M7" s="15" t="inlineStr">
        <is>
          <t>עבור עבודות שלד</t>
        </is>
      </c>
      <c r="N7" s="14" t="inlineStr">
        <is>
          <t>2112-015</t>
        </is>
      </c>
      <c r="O7" s="16" t="n">
        <v>18900</v>
      </c>
      <c r="P7" s="16" t="n">
        <v>22302</v>
      </c>
      <c r="Q7" s="21">
        <f>Table1[[#This Row],[סכום כולל מע"מ]]-Table1[[#This Row],[סכום לפני מעמ2]]</f>
        <v/>
      </c>
    </row>
    <row r="8">
      <c r="B8" t="n">
        <v>6</v>
      </c>
      <c r="C8" t="inlineStr">
        <is>
          <t>חשבוניות מטר</t>
        </is>
      </c>
      <c r="D8" t="n">
        <v>6</v>
      </c>
      <c r="E8" s="11" t="inlineStr">
        <is>
          <t>015-25-000483</t>
        </is>
      </c>
      <c r="F8" t="n">
        <v>60476</v>
      </c>
      <c r="G8" s="12" t="n">
        <v>46022</v>
      </c>
      <c r="H8" s="13" t="n">
        <v>8284</v>
      </c>
      <c r="I8" s="14" t="inlineStr">
        <is>
          <t>015</t>
        </is>
      </c>
      <c r="J8" s="14" t="inlineStr">
        <is>
          <t>עבודות עפר</t>
        </is>
      </c>
      <c r="L8" s="14" t="inlineStr">
        <is>
          <t>000</t>
        </is>
      </c>
      <c r="M8" s="15" t="inlineStr">
        <is>
          <t>עבור עבודות עפר</t>
        </is>
      </c>
      <c r="N8" s="14" t="inlineStr">
        <is>
          <t>2112-015</t>
        </is>
      </c>
      <c r="O8" s="16" t="n">
        <v>19100</v>
      </c>
      <c r="P8" s="16" t="n">
        <v>22538</v>
      </c>
      <c r="Q8" s="21">
        <f>Table1[[#This Row],[סכום כולל מע"מ]]-Table1[[#This Row],[סכום לפני מעמ2]]</f>
        <v/>
      </c>
    </row>
    <row r="9">
      <c r="B9" t="n">
        <v>7</v>
      </c>
      <c r="C9" t="inlineStr">
        <is>
          <t>חשבוניות מטר</t>
        </is>
      </c>
      <c r="D9" t="n">
        <v>7</v>
      </c>
      <c r="E9" s="11" t="inlineStr">
        <is>
          <t>015-25-000484</t>
        </is>
      </c>
      <c r="F9" t="n">
        <v>60476</v>
      </c>
      <c r="G9" s="12" t="n">
        <v>46022</v>
      </c>
      <c r="H9" s="13" t="n">
        <v>8283</v>
      </c>
      <c r="I9" s="14" t="inlineStr">
        <is>
          <t>015</t>
        </is>
      </c>
      <c r="J9" s="14" t="inlineStr">
        <is>
          <t>עבודות בניה</t>
        </is>
      </c>
      <c r="L9" s="14" t="inlineStr">
        <is>
          <t>000</t>
        </is>
      </c>
      <c r="M9" s="15" t="inlineStr">
        <is>
          <t>עבור עבודות בניה</t>
        </is>
      </c>
      <c r="N9" s="14" t="inlineStr">
        <is>
          <t>2112-015</t>
        </is>
      </c>
      <c r="O9" s="16" t="n">
        <v>19700</v>
      </c>
      <c r="P9" s="16" t="n">
        <v>23246</v>
      </c>
      <c r="Q9" s="21">
        <f>Table1[[#This Row],[סכום כולל מע"מ]]-Table1[[#This Row],[סכום לפני מעמ2]]</f>
        <v/>
      </c>
    </row>
    <row r="10">
      <c r="B10" t="n">
        <v>8</v>
      </c>
      <c r="C10" t="inlineStr">
        <is>
          <t>חשבוניות מטר</t>
        </is>
      </c>
      <c r="D10" t="n">
        <v>8</v>
      </c>
      <c r="E10" s="11" t="inlineStr">
        <is>
          <t>015-25-000485</t>
        </is>
      </c>
      <c r="F10" t="n">
        <v>60476</v>
      </c>
      <c r="G10" s="12" t="n">
        <v>46022</v>
      </c>
      <c r="H10" s="13" t="n">
        <v>8282</v>
      </c>
      <c r="I10" s="14" t="inlineStr">
        <is>
          <t>015</t>
        </is>
      </c>
      <c r="J10" s="14" t="inlineStr">
        <is>
          <t>עבודות שיפוצים</t>
        </is>
      </c>
      <c r="L10" s="14" t="inlineStr">
        <is>
          <t>000</t>
        </is>
      </c>
      <c r="M10" s="15" t="inlineStr">
        <is>
          <t>עבור עבודות שיפוצים</t>
        </is>
      </c>
      <c r="N10" s="14" t="inlineStr">
        <is>
          <t>2112-015</t>
        </is>
      </c>
      <c r="O10" s="16" t="n">
        <v>19900</v>
      </c>
      <c r="P10" s="16" t="n">
        <v>23482</v>
      </c>
      <c r="Q10" s="21">
        <f>Table1[[#This Row],[סכום כולל מע"מ]]-Table1[[#This Row],[סכום לפני מעמ2]]</f>
        <v/>
      </c>
    </row>
    <row r="11">
      <c r="B11" t="n">
        <v>9</v>
      </c>
      <c r="C11" t="inlineStr">
        <is>
          <t>חשבוניות מטר</t>
        </is>
      </c>
      <c r="D11" t="n">
        <v>9</v>
      </c>
      <c r="E11" s="11" t="inlineStr">
        <is>
          <t>015-25-000486</t>
        </is>
      </c>
      <c r="F11" t="n">
        <v>60476</v>
      </c>
      <c r="G11" s="12" t="n">
        <v>46022</v>
      </c>
      <c r="H11" s="13" t="n">
        <v>8281</v>
      </c>
      <c r="I11" s="14" t="inlineStr">
        <is>
          <t>015</t>
        </is>
      </c>
      <c r="J11" s="14" t="inlineStr">
        <is>
          <t>עבודות עפר</t>
        </is>
      </c>
      <c r="L11" s="14" t="inlineStr">
        <is>
          <t>000</t>
        </is>
      </c>
      <c r="M11" s="15" t="inlineStr">
        <is>
          <t>עבור עבודות עפר</t>
        </is>
      </c>
      <c r="N11" s="14" t="inlineStr">
        <is>
          <t>2112-015</t>
        </is>
      </c>
      <c r="O11" s="16" t="n">
        <v>19900</v>
      </c>
      <c r="P11" s="16" t="n">
        <v>23482</v>
      </c>
      <c r="Q11" s="21">
        <f>Table1[[#This Row],[סכום כולל מע"מ]]-Table1[[#This Row],[סכום לפני מעמ2]]</f>
        <v/>
      </c>
    </row>
    <row r="12">
      <c r="B12" t="n">
        <v>10</v>
      </c>
      <c r="C12" t="inlineStr">
        <is>
          <t>חשבוניות מטר</t>
        </is>
      </c>
      <c r="D12" t="n">
        <v>10</v>
      </c>
      <c r="E12" s="11" t="inlineStr">
        <is>
          <t>015-25-000487</t>
        </is>
      </c>
      <c r="F12" t="n">
        <v>60476</v>
      </c>
      <c r="G12" s="12" t="n">
        <v>46022</v>
      </c>
      <c r="H12" s="13" t="n">
        <v>8280</v>
      </c>
      <c r="I12" s="14" t="inlineStr">
        <is>
          <t>015</t>
        </is>
      </c>
      <c r="J12" s="14" t="inlineStr">
        <is>
          <t>עבודות בניה</t>
        </is>
      </c>
      <c r="L12" s="14" t="inlineStr">
        <is>
          <t>000</t>
        </is>
      </c>
      <c r="M12" s="15" t="inlineStr">
        <is>
          <t>עבור עבודות בניה</t>
        </is>
      </c>
      <c r="N12" s="14" t="inlineStr">
        <is>
          <t>2112-015</t>
        </is>
      </c>
      <c r="O12" s="16" t="n">
        <v>19900</v>
      </c>
      <c r="P12" s="16" t="n">
        <v>23482</v>
      </c>
      <c r="Q12" s="21">
        <f>Table1[[#This Row],[סכום כולל מע"מ]]-Table1[[#This Row],[סכום לפני מעמ2]]</f>
        <v/>
      </c>
    </row>
    <row r="13">
      <c r="B13" t="n">
        <v>11</v>
      </c>
      <c r="C13" t="inlineStr">
        <is>
          <t>חשבוניות מטר</t>
        </is>
      </c>
      <c r="D13" t="n">
        <v>11</v>
      </c>
      <c r="E13" s="11" t="inlineStr">
        <is>
          <t>015-25-000488</t>
        </is>
      </c>
      <c r="F13" t="n">
        <v>60476</v>
      </c>
      <c r="G13" s="12" t="n">
        <v>46022</v>
      </c>
      <c r="H13" s="13" t="n">
        <v>8279</v>
      </c>
      <c r="I13" s="14" t="inlineStr">
        <is>
          <t>015</t>
        </is>
      </c>
      <c r="J13" s="14" t="inlineStr">
        <is>
          <t>עבודות עפר</t>
        </is>
      </c>
      <c r="L13" s="14" t="inlineStr">
        <is>
          <t>000</t>
        </is>
      </c>
      <c r="M13" s="15" t="inlineStr">
        <is>
          <t>עבור עבודות עפר</t>
        </is>
      </c>
      <c r="N13" s="14" t="inlineStr">
        <is>
          <t>2112-015</t>
        </is>
      </c>
      <c r="O13" s="16" t="n">
        <v>19900</v>
      </c>
      <c r="P13" s="16" t="n">
        <v>23482</v>
      </c>
      <c r="Q13" s="21">
        <f>Table1[[#This Row],[סכום כולל מע"מ]]-Table1[[#This Row],[סכום לפני מעמ2]]</f>
        <v/>
      </c>
    </row>
    <row r="14">
      <c r="B14" t="n">
        <v>12</v>
      </c>
      <c r="C14" t="inlineStr">
        <is>
          <t>חשבוניות מטר</t>
        </is>
      </c>
      <c r="D14" t="n">
        <v>12</v>
      </c>
      <c r="E14" s="11" t="inlineStr">
        <is>
          <t>015-25-000489</t>
        </is>
      </c>
      <c r="F14" t="n">
        <v>60476</v>
      </c>
      <c r="G14" s="12" t="n">
        <v>46022</v>
      </c>
      <c r="H14" s="13" t="n">
        <v>8278</v>
      </c>
      <c r="I14" s="14" t="inlineStr">
        <is>
          <t>015</t>
        </is>
      </c>
      <c r="J14" s="14" t="inlineStr">
        <is>
          <t>עבודות עפר</t>
        </is>
      </c>
      <c r="L14" s="14" t="inlineStr">
        <is>
          <t>000</t>
        </is>
      </c>
      <c r="M14" s="15" t="inlineStr">
        <is>
          <t>עבור עבודות עפר</t>
        </is>
      </c>
      <c r="N14" s="14" t="inlineStr">
        <is>
          <t>2112-015</t>
        </is>
      </c>
      <c r="O14" s="16" t="n">
        <v>19800</v>
      </c>
      <c r="P14" s="16" t="n">
        <v>23364</v>
      </c>
      <c r="Q14" s="21">
        <f>Table1[[#This Row],[סכום כולל מע"מ]]-Table1[[#This Row],[סכום לפני מעמ2]]</f>
        <v/>
      </c>
    </row>
    <row r="15">
      <c r="B15" t="n">
        <v>13</v>
      </c>
      <c r="C15" t="inlineStr">
        <is>
          <t>חשבוניות מטר</t>
        </is>
      </c>
      <c r="D15" t="n">
        <v>13</v>
      </c>
      <c r="E15" s="11" t="inlineStr">
        <is>
          <t>015-25-000490</t>
        </is>
      </c>
      <c r="F15" t="n">
        <v>60476</v>
      </c>
      <c r="G15" s="12" t="n">
        <v>46022</v>
      </c>
      <c r="H15" s="13" t="n">
        <v>8277</v>
      </c>
      <c r="I15" s="14" t="inlineStr">
        <is>
          <t>015</t>
        </is>
      </c>
      <c r="J15" s="14" t="inlineStr">
        <is>
          <t>עבודות עפר</t>
        </is>
      </c>
      <c r="L15" s="14" t="inlineStr">
        <is>
          <t>000</t>
        </is>
      </c>
      <c r="M15" s="15" t="inlineStr">
        <is>
          <t>עבור עבודות עפר</t>
        </is>
      </c>
      <c r="N15" s="14" t="inlineStr">
        <is>
          <t>2112-015</t>
        </is>
      </c>
      <c r="O15" s="16" t="n">
        <v>19800</v>
      </c>
      <c r="P15" s="16" t="n">
        <v>23364</v>
      </c>
      <c r="Q15" s="21">
        <f>Table1[[#This Row],[סכום כולל מע"מ]]-Table1[[#This Row],[סכום לפני מעמ2]]</f>
        <v/>
      </c>
    </row>
    <row r="16">
      <c r="B16" t="n">
        <v>14</v>
      </c>
      <c r="C16" t="inlineStr">
        <is>
          <t>חשבוניות מטר</t>
        </is>
      </c>
      <c r="D16" t="n">
        <v>14</v>
      </c>
      <c r="E16" s="11" t="inlineStr">
        <is>
          <t>015-25-000491</t>
        </is>
      </c>
      <c r="F16" t="n">
        <v>60476</v>
      </c>
      <c r="G16" s="12" t="n">
        <v>46022</v>
      </c>
      <c r="H16" s="13" t="n">
        <v>8276</v>
      </c>
      <c r="I16" s="14" t="inlineStr">
        <is>
          <t>015</t>
        </is>
      </c>
      <c r="J16" s="14" t="inlineStr">
        <is>
          <t>עבודות בניה</t>
        </is>
      </c>
      <c r="L16" s="14" t="inlineStr">
        <is>
          <t>000</t>
        </is>
      </c>
      <c r="M16" s="15" t="inlineStr">
        <is>
          <t>עבור עבודות בניה</t>
        </is>
      </c>
      <c r="N16" s="14" t="inlineStr">
        <is>
          <t>2112-015</t>
        </is>
      </c>
      <c r="O16" s="16" t="n">
        <v>19800</v>
      </c>
      <c r="P16" s="16" t="n">
        <v>23364</v>
      </c>
      <c r="Q16" s="21">
        <f>Table1[[#This Row],[סכום כולל מע"מ]]-Table1[[#This Row],[סכום לפני מעמ2]]</f>
        <v/>
      </c>
    </row>
    <row r="17">
      <c r="B17" t="n">
        <v>15</v>
      </c>
      <c r="C17" t="inlineStr">
        <is>
          <t>חשבוניות מטר</t>
        </is>
      </c>
      <c r="D17" t="n">
        <v>15</v>
      </c>
      <c r="E17" s="11" t="inlineStr">
        <is>
          <t>015-25-000492</t>
        </is>
      </c>
      <c r="F17" t="n">
        <v>60476</v>
      </c>
      <c r="G17" s="12" t="n">
        <v>46022</v>
      </c>
      <c r="H17" s="13" t="n">
        <v>8275</v>
      </c>
      <c r="I17" s="14" t="inlineStr">
        <is>
          <t>015</t>
        </is>
      </c>
      <c r="J17" s="14" t="inlineStr">
        <is>
          <t>עבודות בניה</t>
        </is>
      </c>
      <c r="L17" s="14" t="inlineStr">
        <is>
          <t>000</t>
        </is>
      </c>
      <c r="M17" s="15" t="inlineStr">
        <is>
          <t>עבור עבודות בניה</t>
        </is>
      </c>
      <c r="N17" s="14" t="inlineStr">
        <is>
          <t>2112-015</t>
        </is>
      </c>
      <c r="O17" s="16" t="n">
        <v>19900</v>
      </c>
      <c r="P17" s="16" t="n">
        <v>23482</v>
      </c>
      <c r="Q17" s="21">
        <f>Table1[[#This Row],[סכום כולל מע"מ]]-Table1[[#This Row],[סכום לפני מעמ2]]</f>
        <v/>
      </c>
    </row>
    <row r="18">
      <c r="B18" t="n">
        <v>16</v>
      </c>
      <c r="C18" t="inlineStr">
        <is>
          <t>חשבוניות מטר</t>
        </is>
      </c>
      <c r="D18" t="n">
        <v>16</v>
      </c>
      <c r="E18" s="11" t="inlineStr">
        <is>
          <t>015-25-000493</t>
        </is>
      </c>
      <c r="F18" t="n">
        <v>60476</v>
      </c>
      <c r="G18" s="12" t="n">
        <v>46022</v>
      </c>
      <c r="H18" s="13" t="n">
        <v>8274</v>
      </c>
      <c r="I18" s="14" t="inlineStr">
        <is>
          <t>015</t>
        </is>
      </c>
      <c r="J18" s="14" t="inlineStr">
        <is>
          <t>עבודות שיפוצים</t>
        </is>
      </c>
      <c r="L18" s="14" t="inlineStr">
        <is>
          <t>000</t>
        </is>
      </c>
      <c r="M18" s="15" t="inlineStr">
        <is>
          <t>עבור עבודות שיפוצים</t>
        </is>
      </c>
      <c r="N18" s="14" t="inlineStr">
        <is>
          <t>2112-015</t>
        </is>
      </c>
      <c r="O18" s="16" t="n">
        <v>19800</v>
      </c>
      <c r="P18" s="16" t="n">
        <v>23364</v>
      </c>
      <c r="Q18" s="21">
        <f>Table1[[#This Row],[סכום כולל מע"מ]]-Table1[[#This Row],[סכום לפני מעמ2]]</f>
        <v/>
      </c>
    </row>
    <row r="19">
      <c r="B19" t="n">
        <v>17</v>
      </c>
      <c r="C19" t="inlineStr">
        <is>
          <t>חשבוניות מטר</t>
        </is>
      </c>
      <c r="D19" t="n">
        <v>17</v>
      </c>
      <c r="E19" s="11" t="inlineStr">
        <is>
          <t>015-25-000494</t>
        </is>
      </c>
      <c r="F19" t="n">
        <v>60476</v>
      </c>
      <c r="G19" s="12" t="n">
        <v>46022</v>
      </c>
      <c r="H19" s="13" t="n">
        <v>8273</v>
      </c>
      <c r="I19" s="14" t="inlineStr">
        <is>
          <t>015</t>
        </is>
      </c>
      <c r="J19" s="14" t="inlineStr">
        <is>
          <t>עבודות שיפוצים</t>
        </is>
      </c>
      <c r="L19" s="14" t="inlineStr">
        <is>
          <t>000</t>
        </is>
      </c>
      <c r="M19" s="15" t="inlineStr">
        <is>
          <t>עבור עבודות שיפוצים</t>
        </is>
      </c>
      <c r="N19" s="14" t="inlineStr">
        <is>
          <t>2112-015</t>
        </is>
      </c>
      <c r="O19" s="16" t="n">
        <v>19990</v>
      </c>
      <c r="P19" s="16" t="n">
        <v>23588.2</v>
      </c>
      <c r="Q19" s="21">
        <f>Table1[[#This Row],[סכום כולל מע"מ]]-Table1[[#This Row],[סכום לפני מעמ2]]</f>
        <v/>
      </c>
    </row>
    <row r="20">
      <c r="B20" t="n">
        <v>18</v>
      </c>
      <c r="C20" t="inlineStr">
        <is>
          <t>חשבוניות מטר</t>
        </is>
      </c>
      <c r="D20" t="n">
        <v>18</v>
      </c>
      <c r="E20" s="11" t="inlineStr">
        <is>
          <t>015-25-000495</t>
        </is>
      </c>
      <c r="F20" t="n">
        <v>60476</v>
      </c>
      <c r="G20" s="12" t="n">
        <v>46022</v>
      </c>
      <c r="H20" s="13" t="n">
        <v>8272</v>
      </c>
      <c r="I20" s="14" t="inlineStr">
        <is>
          <t>015</t>
        </is>
      </c>
      <c r="J20" s="14" t="inlineStr">
        <is>
          <t>עבודות שיפוצים</t>
        </is>
      </c>
      <c r="L20" s="14" t="inlineStr">
        <is>
          <t>000</t>
        </is>
      </c>
      <c r="M20" s="15" t="inlineStr">
        <is>
          <t>עבור עבודות שיפוצים</t>
        </is>
      </c>
      <c r="N20" s="14" t="inlineStr">
        <is>
          <t>2112-015</t>
        </is>
      </c>
      <c r="O20" s="16" t="n">
        <v>19800</v>
      </c>
      <c r="P20" s="16" t="n">
        <v>23364</v>
      </c>
      <c r="Q20" s="21">
        <f>Table1[[#This Row],[סכום כולל מע"מ]]-Table1[[#This Row],[סכום לפני מעמ2]]</f>
        <v/>
      </c>
    </row>
    <row r="21">
      <c r="B21" t="n">
        <v>19</v>
      </c>
      <c r="C21" t="inlineStr">
        <is>
          <t>חשבוניות מטר</t>
        </is>
      </c>
      <c r="D21" t="n">
        <v>19</v>
      </c>
      <c r="E21" s="11" t="inlineStr">
        <is>
          <t>015-25-000496</t>
        </is>
      </c>
      <c r="F21" t="n">
        <v>60476</v>
      </c>
      <c r="G21" s="12" t="n">
        <v>46022</v>
      </c>
      <c r="H21" s="13" t="n">
        <v>8271</v>
      </c>
      <c r="I21" s="14" t="inlineStr">
        <is>
          <t>015</t>
        </is>
      </c>
      <c r="J21" s="14" t="inlineStr">
        <is>
          <t>עבודות בניה</t>
        </is>
      </c>
      <c r="L21" s="14" t="inlineStr">
        <is>
          <t>000</t>
        </is>
      </c>
      <c r="M21" s="15" t="inlineStr">
        <is>
          <t>עבור עבודות בניה</t>
        </is>
      </c>
      <c r="N21" s="14" t="inlineStr">
        <is>
          <t>2112-015</t>
        </is>
      </c>
      <c r="O21" s="16" t="n">
        <v>19700</v>
      </c>
      <c r="P21" s="16" t="n">
        <v>23246</v>
      </c>
      <c r="Q21" s="21">
        <f>Table1[[#This Row],[סכום כולל מע"מ]]-Table1[[#This Row],[סכום לפני מעמ2]]</f>
        <v/>
      </c>
    </row>
    <row r="22">
      <c r="B22" t="n">
        <v>20</v>
      </c>
      <c r="C22" t="inlineStr">
        <is>
          <t>חשבוניות מטר</t>
        </is>
      </c>
      <c r="D22" t="n">
        <v>20</v>
      </c>
      <c r="E22" s="11" t="inlineStr">
        <is>
          <t>015-25-000497</t>
        </is>
      </c>
      <c r="F22" t="n">
        <v>60476</v>
      </c>
      <c r="G22" s="12" t="n">
        <v>46022</v>
      </c>
      <c r="H22" s="13" t="n">
        <v>8270</v>
      </c>
      <c r="I22" s="14" t="inlineStr">
        <is>
          <t>015</t>
        </is>
      </c>
      <c r="J22" s="14" t="inlineStr">
        <is>
          <t>עבודות שיפוצים</t>
        </is>
      </c>
      <c r="L22" s="14" t="inlineStr">
        <is>
          <t>000</t>
        </is>
      </c>
      <c r="M22" s="15" t="inlineStr">
        <is>
          <t>עבור עבודות שיפוצים</t>
        </is>
      </c>
      <c r="N22" s="14" t="inlineStr">
        <is>
          <t>2112-015</t>
        </is>
      </c>
      <c r="O22" s="16" t="n">
        <v>19800</v>
      </c>
      <c r="P22" s="16" t="n">
        <v>23364</v>
      </c>
      <c r="Q22" s="21">
        <f>Table1[[#This Row],[סכום כולל מע"מ]]-Table1[[#This Row],[סכום לפני מעמ2]]</f>
        <v/>
      </c>
    </row>
    <row r="23">
      <c r="B23" t="n">
        <v>21</v>
      </c>
      <c r="C23" t="inlineStr">
        <is>
          <t>חשבוניות מטר</t>
        </is>
      </c>
      <c r="D23" t="n">
        <v>21</v>
      </c>
      <c r="E23" s="11" t="inlineStr">
        <is>
          <t>015-25-000498</t>
        </is>
      </c>
      <c r="F23" t="n">
        <v>60476</v>
      </c>
      <c r="G23" s="12" t="n">
        <v>46022</v>
      </c>
      <c r="H23" s="13" t="n">
        <v>8269</v>
      </c>
      <c r="I23" s="14" t="inlineStr">
        <is>
          <t>015</t>
        </is>
      </c>
      <c r="J23" s="14" t="inlineStr">
        <is>
          <t>עבודות שיפוצים</t>
        </is>
      </c>
      <c r="L23" s="14" t="inlineStr">
        <is>
          <t>000</t>
        </is>
      </c>
      <c r="M23" s="15" t="inlineStr">
        <is>
          <t>עבור עבודות שיפוצים</t>
        </is>
      </c>
      <c r="N23" s="14" t="inlineStr">
        <is>
          <t>2112-015</t>
        </is>
      </c>
      <c r="O23" s="16" t="n">
        <v>19800</v>
      </c>
      <c r="P23" s="16" t="n">
        <v>23364</v>
      </c>
      <c r="Q23" s="21">
        <f>Table1[[#This Row],[סכום כולל מע"מ]]-Table1[[#This Row],[סכום לפני מעמ2]]</f>
        <v/>
      </c>
    </row>
    <row r="24">
      <c r="B24" t="n">
        <v>22</v>
      </c>
      <c r="C24" t="inlineStr">
        <is>
          <t>חשבוניות מטר</t>
        </is>
      </c>
      <c r="D24" t="n">
        <v>22</v>
      </c>
      <c r="E24" s="11" t="inlineStr">
        <is>
          <t>015-25-000499</t>
        </is>
      </c>
      <c r="F24" t="n">
        <v>60476</v>
      </c>
      <c r="G24" s="12" t="n">
        <v>46022</v>
      </c>
      <c r="H24" s="13" t="n">
        <v>8268</v>
      </c>
      <c r="I24" s="14" t="inlineStr">
        <is>
          <t>015</t>
        </is>
      </c>
      <c r="J24" s="14" t="inlineStr">
        <is>
          <t>עבודות עפר</t>
        </is>
      </c>
      <c r="L24" s="14" t="inlineStr">
        <is>
          <t>000</t>
        </is>
      </c>
      <c r="M24" s="15" t="inlineStr">
        <is>
          <t>עבור עבודות עפר</t>
        </is>
      </c>
      <c r="N24" s="14" t="inlineStr">
        <is>
          <t>2112-015</t>
        </is>
      </c>
      <c r="O24" s="16" t="n">
        <v>19800</v>
      </c>
      <c r="P24" s="16" t="n">
        <v>23364</v>
      </c>
      <c r="Q24" s="21">
        <f>Table1[[#This Row],[סכום כולל מע"מ]]-Table1[[#This Row],[סכום לפני מעמ2]]</f>
        <v/>
      </c>
    </row>
    <row r="25">
      <c r="B25" t="n">
        <v>23</v>
      </c>
      <c r="C25" t="inlineStr">
        <is>
          <t>חשבוניות מטר</t>
        </is>
      </c>
      <c r="D25" t="n">
        <v>23</v>
      </c>
      <c r="E25" s="11" t="inlineStr">
        <is>
          <t>015-25-000500</t>
        </is>
      </c>
      <c r="F25" t="n">
        <v>60476</v>
      </c>
      <c r="G25" s="12" t="n">
        <v>46022</v>
      </c>
      <c r="H25" s="13" t="n">
        <v>8267</v>
      </c>
      <c r="I25" s="14" t="inlineStr">
        <is>
          <t>015</t>
        </is>
      </c>
      <c r="J25" s="14" t="inlineStr">
        <is>
          <t>עבודות עפר</t>
        </is>
      </c>
      <c r="L25" s="14" t="inlineStr">
        <is>
          <t>000</t>
        </is>
      </c>
      <c r="M25" s="15" t="inlineStr">
        <is>
          <t>עבור עבודות עפר</t>
        </is>
      </c>
      <c r="N25" s="14" t="inlineStr">
        <is>
          <t>2112-015</t>
        </is>
      </c>
      <c r="O25" s="16" t="n">
        <v>19200</v>
      </c>
      <c r="P25" s="16" t="n">
        <v>22656</v>
      </c>
      <c r="Q25" s="21">
        <f>Table1[[#This Row],[סכום כולל מע"מ]]-Table1[[#This Row],[סכום לפני מעמ2]]</f>
        <v/>
      </c>
    </row>
    <row r="26">
      <c r="B26" t="n">
        <v>24</v>
      </c>
      <c r="C26" t="inlineStr">
        <is>
          <t>חשבוניות מטר</t>
        </is>
      </c>
      <c r="D26" t="n">
        <v>24</v>
      </c>
      <c r="E26" s="11" t="inlineStr">
        <is>
          <t>015-25-000501</t>
        </is>
      </c>
      <c r="F26" t="n">
        <v>60476</v>
      </c>
      <c r="G26" s="12" t="n">
        <v>46022</v>
      </c>
      <c r="H26" s="13" t="n">
        <v>8266</v>
      </c>
      <c r="I26" s="14" t="inlineStr">
        <is>
          <t>015</t>
        </is>
      </c>
      <c r="J26" s="14" t="inlineStr">
        <is>
          <t>עבודות עפר</t>
        </is>
      </c>
      <c r="L26" s="14" t="inlineStr">
        <is>
          <t>000</t>
        </is>
      </c>
      <c r="M26" s="15" t="inlineStr">
        <is>
          <t>עבור עבודות עפר</t>
        </is>
      </c>
      <c r="N26" s="14" t="inlineStr">
        <is>
          <t>2112-015</t>
        </is>
      </c>
      <c r="O26" s="16" t="n">
        <v>19200</v>
      </c>
      <c r="P26" s="16" t="n">
        <v>22656</v>
      </c>
      <c r="Q26" s="21">
        <f>Table1[[#This Row],[סכום כולל מע"מ]]-Table1[[#This Row],[סכום לפני מעמ2]]</f>
        <v/>
      </c>
    </row>
    <row r="27">
      <c r="B27" t="n">
        <v>25</v>
      </c>
      <c r="C27" t="inlineStr">
        <is>
          <t>חשבוניות מטר</t>
        </is>
      </c>
      <c r="D27" t="n">
        <v>25</v>
      </c>
      <c r="E27" s="11" t="inlineStr">
        <is>
          <t>015-25-000502</t>
        </is>
      </c>
      <c r="F27" t="n">
        <v>60476</v>
      </c>
      <c r="G27" s="12" t="n">
        <v>46022</v>
      </c>
      <c r="H27" s="13" t="n">
        <v>8265</v>
      </c>
      <c r="I27" s="14" t="inlineStr">
        <is>
          <t>015</t>
        </is>
      </c>
      <c r="J27" s="14" t="inlineStr">
        <is>
          <t>עבודות בניה</t>
        </is>
      </c>
      <c r="L27" s="14" t="inlineStr">
        <is>
          <t>000</t>
        </is>
      </c>
      <c r="M27" s="15" t="inlineStr">
        <is>
          <t>עבור עבודות בניה</t>
        </is>
      </c>
      <c r="N27" s="14" t="inlineStr">
        <is>
          <t>2112-015</t>
        </is>
      </c>
      <c r="O27" s="16" t="n">
        <v>19800</v>
      </c>
      <c r="P27" s="16" t="n">
        <v>23364</v>
      </c>
      <c r="Q27" s="21">
        <f>Table1[[#This Row],[סכום כולל מע"מ]]-Table1[[#This Row],[סכום לפני מעמ2]]</f>
        <v/>
      </c>
    </row>
    <row r="28">
      <c r="B28" t="n">
        <v>26</v>
      </c>
      <c r="C28" t="inlineStr">
        <is>
          <t>חשבוניות מטר</t>
        </is>
      </c>
      <c r="D28" t="n">
        <v>26</v>
      </c>
      <c r="E28" s="11" t="inlineStr">
        <is>
          <t>015-25-000503</t>
        </is>
      </c>
      <c r="F28" t="n">
        <v>60476</v>
      </c>
      <c r="G28" s="12" t="n">
        <v>46022</v>
      </c>
      <c r="H28" s="13" t="n">
        <v>8264</v>
      </c>
      <c r="I28" s="14" t="inlineStr">
        <is>
          <t>015</t>
        </is>
      </c>
      <c r="J28" s="14" t="inlineStr">
        <is>
          <t>עבודות עפר</t>
        </is>
      </c>
      <c r="L28" s="14" t="inlineStr">
        <is>
          <t>000</t>
        </is>
      </c>
      <c r="M28" s="15" t="inlineStr">
        <is>
          <t>עבור עבודות עפר</t>
        </is>
      </c>
      <c r="N28" s="14" t="inlineStr">
        <is>
          <t>2112-015</t>
        </is>
      </c>
      <c r="O28" s="16" t="n">
        <v>19700</v>
      </c>
      <c r="P28" s="16" t="n">
        <v>23246</v>
      </c>
      <c r="Q28" s="21">
        <f>Table1[[#This Row],[סכום כולל מע"מ]]-Table1[[#This Row],[סכום לפני מעמ2]]</f>
        <v/>
      </c>
    </row>
    <row r="29">
      <c r="B29" t="n">
        <v>27</v>
      </c>
      <c r="C29" t="inlineStr">
        <is>
          <t>חשבוניות מטר</t>
        </is>
      </c>
      <c r="D29" t="n">
        <v>27</v>
      </c>
      <c r="E29" s="11" t="inlineStr">
        <is>
          <t>015-25-000504</t>
        </is>
      </c>
      <c r="F29" t="n">
        <v>60476</v>
      </c>
      <c r="G29" s="12" t="n">
        <v>46022</v>
      </c>
      <c r="H29" s="13" t="n">
        <v>8263</v>
      </c>
      <c r="I29" s="14" t="inlineStr">
        <is>
          <t>015</t>
        </is>
      </c>
      <c r="J29" s="14" t="inlineStr">
        <is>
          <t>עבודות בניה</t>
        </is>
      </c>
      <c r="L29" s="14" t="inlineStr">
        <is>
          <t>000</t>
        </is>
      </c>
      <c r="M29" s="15" t="inlineStr">
        <is>
          <t>עבור עבודות בניה</t>
        </is>
      </c>
      <c r="N29" s="14" t="inlineStr">
        <is>
          <t>2112-015</t>
        </is>
      </c>
      <c r="O29" s="16" t="n">
        <v>19900</v>
      </c>
      <c r="P29" s="16" t="n">
        <v>23482</v>
      </c>
      <c r="Q29" s="21">
        <f>Table1[[#This Row],[סכום כולל מע"מ]]-Table1[[#This Row],[סכום לפני מעמ2]]</f>
        <v/>
      </c>
    </row>
    <row r="30">
      <c r="B30" t="n">
        <v>28</v>
      </c>
      <c r="C30" t="inlineStr">
        <is>
          <t>חשבוניות מטר</t>
        </is>
      </c>
      <c r="D30" t="n">
        <v>28</v>
      </c>
      <c r="E30" s="11" t="inlineStr">
        <is>
          <t>015-25-000505</t>
        </is>
      </c>
      <c r="F30" t="n">
        <v>60476</v>
      </c>
      <c r="G30" s="12" t="n">
        <v>46022</v>
      </c>
      <c r="H30" s="13" t="n">
        <v>8262</v>
      </c>
      <c r="I30" s="14" t="inlineStr">
        <is>
          <t>015</t>
        </is>
      </c>
      <c r="J30" s="14" t="inlineStr">
        <is>
          <t>עבודות עפר</t>
        </is>
      </c>
      <c r="L30" s="14" t="inlineStr">
        <is>
          <t>000</t>
        </is>
      </c>
      <c r="M30" s="15" t="inlineStr">
        <is>
          <t>עבור עבודות עפר</t>
        </is>
      </c>
      <c r="N30" s="14" t="inlineStr">
        <is>
          <t>2112-015</t>
        </is>
      </c>
      <c r="O30" s="16" t="n">
        <v>19500</v>
      </c>
      <c r="P30" s="16" t="n">
        <v>23010</v>
      </c>
      <c r="Q30" s="21">
        <f>Table1[[#This Row],[סכום כולל מע"מ]]-Table1[[#This Row],[סכום לפני מעמ2]]</f>
        <v/>
      </c>
    </row>
    <row r="31">
      <c r="B31" t="n">
        <v>29</v>
      </c>
      <c r="C31" t="inlineStr">
        <is>
          <t>חשבוניות מטר</t>
        </is>
      </c>
      <c r="D31" t="n">
        <v>29</v>
      </c>
      <c r="E31" s="11" t="inlineStr">
        <is>
          <t>015-25-000506</t>
        </is>
      </c>
      <c r="F31" t="n">
        <v>60476</v>
      </c>
      <c r="G31" s="12" t="n">
        <v>46022</v>
      </c>
      <c r="H31" s="13" t="n">
        <v>8261</v>
      </c>
      <c r="I31" s="14" t="inlineStr">
        <is>
          <t>015</t>
        </is>
      </c>
      <c r="J31" s="14" t="inlineStr">
        <is>
          <t>עבודות עפר</t>
        </is>
      </c>
      <c r="L31" s="14" t="inlineStr">
        <is>
          <t>000</t>
        </is>
      </c>
      <c r="M31" s="15" t="inlineStr">
        <is>
          <t>עבור עבודות עפר</t>
        </is>
      </c>
      <c r="N31" s="14" t="inlineStr">
        <is>
          <t>2112-015</t>
        </is>
      </c>
      <c r="O31" s="16" t="n">
        <v>19800</v>
      </c>
      <c r="P31" s="16" t="n">
        <v>23364</v>
      </c>
      <c r="Q31" s="21">
        <f>Table1[[#This Row],[סכום כולל מע"מ]]-Table1[[#This Row],[סכום לפני מעמ2]]</f>
        <v/>
      </c>
    </row>
    <row r="32">
      <c r="B32" t="n">
        <v>30</v>
      </c>
      <c r="C32" t="inlineStr">
        <is>
          <t>חשבוניות מטר</t>
        </is>
      </c>
      <c r="D32" t="n">
        <v>30</v>
      </c>
      <c r="E32" s="11" t="inlineStr">
        <is>
          <t>015-25-000507</t>
        </is>
      </c>
      <c r="F32" t="n">
        <v>60476</v>
      </c>
      <c r="G32" s="12" t="n">
        <v>46022</v>
      </c>
      <c r="H32" s="13" t="n">
        <v>8260</v>
      </c>
      <c r="I32" s="14" t="inlineStr">
        <is>
          <t>015</t>
        </is>
      </c>
      <c r="J32" s="14" t="inlineStr">
        <is>
          <t>עבודות עפר</t>
        </is>
      </c>
      <c r="L32" s="14" t="inlineStr">
        <is>
          <t>000</t>
        </is>
      </c>
      <c r="M32" s="15" t="inlineStr">
        <is>
          <t>עבור עבודות עפר</t>
        </is>
      </c>
      <c r="N32" s="14" t="inlineStr">
        <is>
          <t>2112-015</t>
        </is>
      </c>
      <c r="O32" s="16" t="n">
        <v>19400</v>
      </c>
      <c r="P32" s="16" t="n">
        <v>22892</v>
      </c>
      <c r="Q32" s="21">
        <f>Table1[[#This Row],[סכום כולל מע"מ]]-Table1[[#This Row],[סכום לפני מעמ2]]</f>
        <v/>
      </c>
    </row>
    <row r="33">
      <c r="B33" t="n">
        <v>31</v>
      </c>
      <c r="C33" t="inlineStr">
        <is>
          <t>חשבוניות מטר</t>
        </is>
      </c>
      <c r="D33" t="n">
        <v>31</v>
      </c>
      <c r="E33" s="11" t="inlineStr">
        <is>
          <t>015-25-000508</t>
        </is>
      </c>
      <c r="F33" t="n">
        <v>60476</v>
      </c>
      <c r="G33" s="12" t="n">
        <v>46022</v>
      </c>
      <c r="H33" s="13" t="n">
        <v>8259</v>
      </c>
      <c r="I33" s="14" t="inlineStr">
        <is>
          <t>015</t>
        </is>
      </c>
      <c r="J33" s="14" t="inlineStr">
        <is>
          <t>עבודות עפר</t>
        </is>
      </c>
      <c r="L33" s="14" t="inlineStr">
        <is>
          <t>000</t>
        </is>
      </c>
      <c r="M33" s="15" t="inlineStr">
        <is>
          <t>עבור עבודות עפר</t>
        </is>
      </c>
      <c r="N33" s="14" t="inlineStr">
        <is>
          <t>2112-015</t>
        </is>
      </c>
      <c r="O33" s="16" t="n">
        <v>19100</v>
      </c>
      <c r="P33" s="16" t="n">
        <v>22538</v>
      </c>
      <c r="Q33" s="21">
        <f>Table1[[#This Row],[סכום כולל מע"מ]]-Table1[[#This Row],[סכום לפני מעמ2]]</f>
        <v/>
      </c>
    </row>
    <row r="34">
      <c r="B34" t="n">
        <v>32</v>
      </c>
      <c r="C34" t="inlineStr">
        <is>
          <t>חשבוניות מטר</t>
        </is>
      </c>
      <c r="D34" t="n">
        <v>32</v>
      </c>
      <c r="E34" s="11" t="inlineStr">
        <is>
          <t>015-25-000509</t>
        </is>
      </c>
      <c r="F34" t="n">
        <v>60476</v>
      </c>
      <c r="G34" s="12" t="n">
        <v>46022</v>
      </c>
      <c r="H34" s="13" t="n">
        <v>8258</v>
      </c>
      <c r="I34" s="14" t="inlineStr">
        <is>
          <t>015</t>
        </is>
      </c>
      <c r="J34" s="14" t="inlineStr">
        <is>
          <t>עבודות עפר</t>
        </is>
      </c>
      <c r="L34" s="14" t="inlineStr">
        <is>
          <t>000</t>
        </is>
      </c>
      <c r="M34" s="15" t="inlineStr">
        <is>
          <t>עבור עבודות עפר</t>
        </is>
      </c>
      <c r="N34" s="14" t="inlineStr">
        <is>
          <t>2112-015</t>
        </is>
      </c>
      <c r="O34" s="16" t="n">
        <v>19900</v>
      </c>
      <c r="P34" s="16" t="n">
        <v>23482</v>
      </c>
      <c r="Q34" s="21">
        <f>Table1[[#This Row],[סכום כולל מע"מ]]-Table1[[#This Row],[סכום לפני מעמ2]]</f>
        <v/>
      </c>
    </row>
    <row r="35">
      <c r="B35" t="n">
        <v>33</v>
      </c>
      <c r="C35" t="inlineStr">
        <is>
          <t>חשבוניות מטר</t>
        </is>
      </c>
      <c r="D35" t="n">
        <v>33</v>
      </c>
      <c r="E35" s="11" t="inlineStr">
        <is>
          <t>015-25-000510</t>
        </is>
      </c>
      <c r="F35" t="n">
        <v>60476</v>
      </c>
      <c r="G35" s="12" t="n">
        <v>46022</v>
      </c>
      <c r="H35" s="13" t="n">
        <v>8257</v>
      </c>
      <c r="I35" s="14" t="inlineStr">
        <is>
          <t>015</t>
        </is>
      </c>
      <c r="J35" s="14" t="inlineStr">
        <is>
          <t>עבודות בניה</t>
        </is>
      </c>
      <c r="L35" s="14" t="inlineStr">
        <is>
          <t>000</t>
        </is>
      </c>
      <c r="M35" s="15" t="inlineStr">
        <is>
          <t>עבור עבודות בניה</t>
        </is>
      </c>
      <c r="N35" s="14" t="inlineStr">
        <is>
          <t>2112-015</t>
        </is>
      </c>
      <c r="O35" s="16" t="n">
        <v>19870</v>
      </c>
      <c r="P35" s="16" t="n">
        <v>23446.6</v>
      </c>
      <c r="Q35" s="21">
        <f>Table1[[#This Row],[סכום כולל מע"מ]]-Table1[[#This Row],[סכום לפני מעמ2]]</f>
        <v/>
      </c>
    </row>
    <row r="36">
      <c r="B36" t="n">
        <v>34</v>
      </c>
      <c r="C36" t="inlineStr">
        <is>
          <t>חשבוניות מטר</t>
        </is>
      </c>
      <c r="D36" t="n">
        <v>34</v>
      </c>
      <c r="E36" s="11" t="inlineStr">
        <is>
          <t>015-25-000511</t>
        </is>
      </c>
      <c r="F36" t="n">
        <v>60476</v>
      </c>
      <c r="G36" s="12" t="n">
        <v>46022</v>
      </c>
      <c r="H36" s="13" t="n">
        <v>8256</v>
      </c>
      <c r="I36" s="14" t="inlineStr">
        <is>
          <t>015</t>
        </is>
      </c>
      <c r="J36" s="14" t="inlineStr">
        <is>
          <t>עבודות בניה</t>
        </is>
      </c>
      <c r="L36" s="14" t="inlineStr">
        <is>
          <t>000</t>
        </is>
      </c>
      <c r="M36" s="15" t="inlineStr">
        <is>
          <t>עבור עבודות בניה</t>
        </is>
      </c>
      <c r="N36" s="14" t="inlineStr">
        <is>
          <t>2112-015</t>
        </is>
      </c>
      <c r="O36" s="16" t="n">
        <v>19900</v>
      </c>
      <c r="P36" s="16" t="n">
        <v>23482</v>
      </c>
      <c r="Q36" s="21">
        <f>Table1[[#This Row],[סכום כולל מע"מ]]-Table1[[#This Row],[סכום לפני מעמ2]]</f>
        <v/>
      </c>
    </row>
    <row r="37">
      <c r="B37" t="n">
        <v>35</v>
      </c>
      <c r="C37" t="inlineStr">
        <is>
          <t>חשבוניות מטר</t>
        </is>
      </c>
      <c r="D37" t="n">
        <v>35</v>
      </c>
      <c r="E37" s="11" t="inlineStr">
        <is>
          <t>015-25-000512</t>
        </is>
      </c>
      <c r="F37" t="n">
        <v>60476</v>
      </c>
      <c r="G37" s="12" t="n">
        <v>46022</v>
      </c>
      <c r="H37" s="13" t="n">
        <v>8255</v>
      </c>
      <c r="I37" s="14" t="inlineStr">
        <is>
          <t>015</t>
        </is>
      </c>
      <c r="J37" s="14" t="inlineStr">
        <is>
          <t>עבודות שיפוצים</t>
        </is>
      </c>
      <c r="L37" s="14" t="inlineStr">
        <is>
          <t>000</t>
        </is>
      </c>
      <c r="M37" s="15" t="inlineStr">
        <is>
          <t>עבור עבודות שיפוצים</t>
        </is>
      </c>
      <c r="N37" s="14" t="inlineStr">
        <is>
          <t>2112-015</t>
        </is>
      </c>
      <c r="O37" s="16" t="n">
        <v>19700</v>
      </c>
      <c r="P37" s="16" t="n">
        <v>23246</v>
      </c>
      <c r="Q37" s="21">
        <f>Table1[[#This Row],[סכום כולל מע"מ]]-Table1[[#This Row],[סכום לפני מעמ2]]</f>
        <v/>
      </c>
    </row>
    <row r="38">
      <c r="B38" t="n">
        <v>36</v>
      </c>
      <c r="C38" t="inlineStr">
        <is>
          <t>חשבוניות מטר</t>
        </is>
      </c>
      <c r="D38" t="n">
        <v>36</v>
      </c>
      <c r="E38" s="11" t="inlineStr">
        <is>
          <t>015-25-000513</t>
        </is>
      </c>
      <c r="F38" t="n">
        <v>60476</v>
      </c>
      <c r="G38" s="12" t="n">
        <v>46022</v>
      </c>
      <c r="H38" s="13" t="n">
        <v>8254</v>
      </c>
      <c r="I38" s="14" t="inlineStr">
        <is>
          <t>015</t>
        </is>
      </c>
      <c r="J38" s="14" t="inlineStr">
        <is>
          <t>עבודות בניה</t>
        </is>
      </c>
      <c r="L38" s="14" t="inlineStr">
        <is>
          <t>000</t>
        </is>
      </c>
      <c r="M38" s="15" t="inlineStr">
        <is>
          <t>עבור עבודות בניה</t>
        </is>
      </c>
      <c r="N38" s="14" t="inlineStr">
        <is>
          <t>2112-015</t>
        </is>
      </c>
      <c r="O38" s="16" t="n">
        <v>19970</v>
      </c>
      <c r="P38" s="16" t="n">
        <v>23564.6</v>
      </c>
      <c r="Q38" s="21">
        <f>Table1[[#This Row],[סכום כולל מע"מ]]-Table1[[#This Row],[סכום לפני מעמ2]]</f>
        <v/>
      </c>
    </row>
    <row r="39">
      <c r="B39" t="n">
        <v>37</v>
      </c>
      <c r="C39" t="inlineStr">
        <is>
          <t>חשבוניות מטר</t>
        </is>
      </c>
      <c r="D39" t="n">
        <v>37</v>
      </c>
      <c r="E39" s="11" t="inlineStr">
        <is>
          <t>015-25-000514</t>
        </is>
      </c>
      <c r="F39" t="n">
        <v>60476</v>
      </c>
      <c r="G39" s="12" t="n">
        <v>46022</v>
      </c>
      <c r="H39" s="13" t="n">
        <v>8253</v>
      </c>
      <c r="I39" s="14" t="inlineStr">
        <is>
          <t>015</t>
        </is>
      </c>
      <c r="J39" s="14" t="inlineStr">
        <is>
          <t>עבודות שיפוצים</t>
        </is>
      </c>
      <c r="L39" s="14" t="inlineStr">
        <is>
          <t>000</t>
        </is>
      </c>
      <c r="M39" s="15" t="inlineStr">
        <is>
          <t>עבור עבודות שיפוצים</t>
        </is>
      </c>
      <c r="N39" s="14" t="inlineStr">
        <is>
          <t>2112-015</t>
        </is>
      </c>
      <c r="O39" s="16" t="n">
        <v>19880</v>
      </c>
      <c r="P39" s="16" t="n">
        <v>23458.4</v>
      </c>
      <c r="Q39" s="21">
        <f>Table1[[#This Row],[סכום כולל מע"מ]]-Table1[[#This Row],[סכום לפני מעמ2]]</f>
        <v/>
      </c>
    </row>
    <row r="40">
      <c r="B40" t="n">
        <v>38</v>
      </c>
      <c r="C40" t="inlineStr">
        <is>
          <t>חשבוניות מטר</t>
        </is>
      </c>
      <c r="D40" t="n">
        <v>38</v>
      </c>
      <c r="E40" s="11" t="inlineStr">
        <is>
          <t>015-25-000515</t>
        </is>
      </c>
      <c r="F40" t="n">
        <v>60476</v>
      </c>
      <c r="G40" s="12" t="n">
        <v>46022</v>
      </c>
      <c r="H40" s="13" t="n">
        <v>8252</v>
      </c>
      <c r="I40" s="14" t="inlineStr">
        <is>
          <t>015</t>
        </is>
      </c>
      <c r="J40" s="14" t="inlineStr">
        <is>
          <t>עבודות בניה</t>
        </is>
      </c>
      <c r="L40" s="14" t="inlineStr">
        <is>
          <t>000</t>
        </is>
      </c>
      <c r="M40" s="15" t="inlineStr">
        <is>
          <t>עבור עבודות בניה</t>
        </is>
      </c>
      <c r="N40" s="14" t="inlineStr">
        <is>
          <t>2112-015</t>
        </is>
      </c>
      <c r="O40" s="16" t="n">
        <v>19700</v>
      </c>
      <c r="P40" s="16" t="n">
        <v>23246</v>
      </c>
      <c r="Q40" s="21">
        <f>Table1[[#This Row],[סכום כולל מע"מ]]-Table1[[#This Row],[סכום לפני מעמ2]]</f>
        <v/>
      </c>
    </row>
    <row r="41">
      <c r="B41" t="n">
        <v>39</v>
      </c>
      <c r="C41" t="inlineStr">
        <is>
          <t>חשבוניות מטר</t>
        </is>
      </c>
      <c r="D41" t="n">
        <v>39</v>
      </c>
      <c r="E41" s="11" t="inlineStr">
        <is>
          <t>015-25-000516</t>
        </is>
      </c>
      <c r="F41" t="n">
        <v>60476</v>
      </c>
      <c r="G41" s="12" t="n">
        <v>46022</v>
      </c>
      <c r="H41" s="13" t="n">
        <v>8251</v>
      </c>
      <c r="I41" s="14" t="inlineStr">
        <is>
          <t>015</t>
        </is>
      </c>
      <c r="J41" s="14" t="inlineStr">
        <is>
          <t>עבודות בניה</t>
        </is>
      </c>
      <c r="L41" s="14" t="inlineStr">
        <is>
          <t>000</t>
        </is>
      </c>
      <c r="M41" s="15" t="inlineStr">
        <is>
          <t>עבור עבודות בניה</t>
        </is>
      </c>
      <c r="N41" s="14" t="inlineStr">
        <is>
          <t>2112-015</t>
        </is>
      </c>
      <c r="O41" s="16" t="n">
        <v>19900</v>
      </c>
      <c r="P41" s="16" t="n">
        <v>23482</v>
      </c>
      <c r="Q41" s="21">
        <f>Table1[[#This Row],[סכום כולל מע"מ]]-Table1[[#This Row],[סכום לפני מעמ2]]</f>
        <v/>
      </c>
    </row>
    <row r="42">
      <c r="B42" t="n">
        <v>40</v>
      </c>
      <c r="C42" t="inlineStr">
        <is>
          <t>חשבוניות מטר</t>
        </is>
      </c>
      <c r="D42" t="n">
        <v>40</v>
      </c>
      <c r="E42" s="11" t="inlineStr">
        <is>
          <t>015-25-000517</t>
        </is>
      </c>
      <c r="F42" t="n">
        <v>60476</v>
      </c>
      <c r="G42" s="12" t="n">
        <v>46022</v>
      </c>
      <c r="H42" s="13" t="n">
        <v>8250</v>
      </c>
      <c r="I42" s="14" t="inlineStr">
        <is>
          <t>015</t>
        </is>
      </c>
      <c r="J42" s="14" t="inlineStr">
        <is>
          <t>עבודות בניה</t>
        </is>
      </c>
      <c r="L42" s="14" t="inlineStr">
        <is>
          <t>000</t>
        </is>
      </c>
      <c r="M42" s="15" t="inlineStr">
        <is>
          <t>עבור עבודות בניה</t>
        </is>
      </c>
      <c r="N42" s="14" t="inlineStr">
        <is>
          <t>2112-015</t>
        </is>
      </c>
      <c r="O42" s="16" t="n">
        <v>19880</v>
      </c>
      <c r="P42" s="16" t="n">
        <v>23458.4</v>
      </c>
      <c r="Q42" s="21">
        <f>Table1[[#This Row],[סכום כולל מע"מ]]-Table1[[#This Row],[סכום לפני מעמ2]]</f>
        <v/>
      </c>
    </row>
    <row r="43">
      <c r="B43" t="n">
        <v>41</v>
      </c>
      <c r="C43" t="inlineStr">
        <is>
          <t>חשבוניות מטר</t>
        </is>
      </c>
      <c r="D43" t="n">
        <v>41</v>
      </c>
      <c r="E43" s="11" t="inlineStr">
        <is>
          <t>015-25-000518</t>
        </is>
      </c>
      <c r="F43" t="n">
        <v>60476</v>
      </c>
      <c r="G43" s="12" t="n">
        <v>46022</v>
      </c>
      <c r="H43" s="13" t="n">
        <v>8249</v>
      </c>
      <c r="I43" s="14" t="inlineStr">
        <is>
          <t>015</t>
        </is>
      </c>
      <c r="J43" s="14" t="inlineStr">
        <is>
          <t>עבודות בניה</t>
        </is>
      </c>
      <c r="L43" s="14" t="inlineStr">
        <is>
          <t>000</t>
        </is>
      </c>
      <c r="M43" s="15" t="inlineStr">
        <is>
          <t>עבור עבודות בניה</t>
        </is>
      </c>
      <c r="N43" s="14" t="inlineStr">
        <is>
          <t>2112-015</t>
        </is>
      </c>
      <c r="O43" s="16" t="n">
        <v>19440</v>
      </c>
      <c r="P43" s="16" t="n">
        <v>22939.2</v>
      </c>
      <c r="Q43" s="21">
        <f>Table1[[#This Row],[סכום כולל מע"מ]]-Table1[[#This Row],[סכום לפני מעמ2]]</f>
        <v/>
      </c>
    </row>
    <row r="44">
      <c r="B44" t="n">
        <v>42</v>
      </c>
      <c r="C44" t="inlineStr">
        <is>
          <t>חשבוניות מטר</t>
        </is>
      </c>
      <c r="D44" t="n">
        <v>42</v>
      </c>
      <c r="E44" s="11" t="inlineStr">
        <is>
          <t>015-25-000519</t>
        </is>
      </c>
      <c r="F44" t="n">
        <v>60476</v>
      </c>
      <c r="G44" s="12" t="n">
        <v>46022</v>
      </c>
      <c r="H44" s="13" t="n">
        <v>8248</v>
      </c>
      <c r="I44" s="14" t="inlineStr">
        <is>
          <t>015</t>
        </is>
      </c>
      <c r="J44" s="14" t="inlineStr">
        <is>
          <t>עבודות בניה</t>
        </is>
      </c>
      <c r="L44" s="14" t="inlineStr">
        <is>
          <t>000</t>
        </is>
      </c>
      <c r="M44" s="15" t="inlineStr">
        <is>
          <t>עבור עבודות בניה</t>
        </is>
      </c>
      <c r="N44" s="14" t="inlineStr">
        <is>
          <t>2112-015</t>
        </is>
      </c>
      <c r="O44" s="16" t="n">
        <v>19200</v>
      </c>
      <c r="P44" s="16" t="n">
        <v>22656</v>
      </c>
      <c r="Q44" s="21">
        <f>Table1[[#This Row],[סכום כולל מע"מ]]-Table1[[#This Row],[סכום לפני מעמ2]]</f>
        <v/>
      </c>
    </row>
    <row r="45">
      <c r="B45" t="n">
        <v>43</v>
      </c>
      <c r="C45" t="inlineStr">
        <is>
          <t>חשבוניות מטר</t>
        </is>
      </c>
      <c r="D45" t="n">
        <v>43</v>
      </c>
      <c r="E45" s="11" t="inlineStr">
        <is>
          <t>015-25-000520</t>
        </is>
      </c>
      <c r="F45" t="n">
        <v>60476</v>
      </c>
      <c r="G45" s="12" t="n">
        <v>46022</v>
      </c>
      <c r="H45" s="13" t="n">
        <v>8247</v>
      </c>
      <c r="I45" s="14" t="inlineStr">
        <is>
          <t>015</t>
        </is>
      </c>
      <c r="J45" s="14" t="inlineStr">
        <is>
          <t>עבודות בניה</t>
        </is>
      </c>
      <c r="L45" s="14" t="inlineStr">
        <is>
          <t>000</t>
        </is>
      </c>
      <c r="M45" s="15" t="inlineStr">
        <is>
          <t>עבור עבודות בניה</t>
        </is>
      </c>
      <c r="N45" s="14" t="inlineStr">
        <is>
          <t>2112-015</t>
        </is>
      </c>
      <c r="O45" s="16" t="n">
        <v>19200</v>
      </c>
      <c r="P45" s="16" t="n">
        <v>22656</v>
      </c>
      <c r="Q45" s="21">
        <f>Table1[[#This Row],[סכום כולל מע"מ]]-Table1[[#This Row],[סכום לפני מעמ2]]</f>
        <v/>
      </c>
    </row>
    <row r="46">
      <c r="B46" t="n">
        <v>44</v>
      </c>
      <c r="C46" t="inlineStr">
        <is>
          <t>חשבוניות מטר</t>
        </is>
      </c>
      <c r="D46" t="n">
        <v>44</v>
      </c>
      <c r="E46" s="11" t="inlineStr">
        <is>
          <t>015-25-000521</t>
        </is>
      </c>
      <c r="F46" t="n">
        <v>60476</v>
      </c>
      <c r="G46" s="12" t="n">
        <v>46022</v>
      </c>
      <c r="H46" s="13" t="n">
        <v>8246</v>
      </c>
      <c r="I46" s="14" t="inlineStr">
        <is>
          <t>015</t>
        </is>
      </c>
      <c r="J46" s="14" t="inlineStr">
        <is>
          <t>עבודות שיפוצים</t>
        </is>
      </c>
      <c r="L46" s="14" t="inlineStr">
        <is>
          <t>000</t>
        </is>
      </c>
      <c r="M46" s="15" t="inlineStr">
        <is>
          <t>עבור עבודות שיפוצים</t>
        </is>
      </c>
      <c r="N46" s="14" t="inlineStr">
        <is>
          <t>2112-015</t>
        </is>
      </c>
      <c r="O46" s="16" t="n">
        <v>19100</v>
      </c>
      <c r="P46" s="16" t="n">
        <v>22538</v>
      </c>
      <c r="Q46" s="21">
        <f>Table1[[#This Row],[סכום כולל מע"מ]]-Table1[[#This Row],[סכום לפני מעמ2]]</f>
        <v/>
      </c>
    </row>
    <row r="47">
      <c r="B47" t="n">
        <v>45</v>
      </c>
      <c r="C47" t="inlineStr">
        <is>
          <t>חשבוניות מטר</t>
        </is>
      </c>
      <c r="D47" t="n">
        <v>45</v>
      </c>
      <c r="E47" s="11" t="inlineStr">
        <is>
          <t>015-25-000522</t>
        </is>
      </c>
      <c r="F47" t="n">
        <v>60476</v>
      </c>
      <c r="G47" s="12" t="n">
        <v>46022</v>
      </c>
      <c r="H47" s="13" t="n">
        <v>8245</v>
      </c>
      <c r="I47" s="14" t="inlineStr">
        <is>
          <t>015</t>
        </is>
      </c>
      <c r="J47" s="14" t="inlineStr">
        <is>
          <t>עבודות שיפוצים</t>
        </is>
      </c>
      <c r="L47" s="14" t="inlineStr">
        <is>
          <t>000</t>
        </is>
      </c>
      <c r="M47" s="15" t="inlineStr">
        <is>
          <t>עבור עבודות שיפוצים</t>
        </is>
      </c>
      <c r="N47" s="14" t="inlineStr">
        <is>
          <t>2112-015</t>
        </is>
      </c>
      <c r="O47" s="16" t="n">
        <v>19800</v>
      </c>
      <c r="P47" s="16" t="n">
        <v>23364</v>
      </c>
      <c r="Q47" s="21">
        <f>Table1[[#This Row],[סכום כולל מע"מ]]-Table1[[#This Row],[סכום לפני מעמ2]]</f>
        <v/>
      </c>
    </row>
    <row r="48">
      <c r="B48" t="n">
        <v>46</v>
      </c>
      <c r="C48" t="inlineStr">
        <is>
          <t>חשבוניות מטר</t>
        </is>
      </c>
      <c r="D48" t="n">
        <v>46</v>
      </c>
      <c r="E48" s="11" t="inlineStr">
        <is>
          <t>015-25-000523</t>
        </is>
      </c>
      <c r="F48" t="n">
        <v>60476</v>
      </c>
      <c r="G48" s="12" t="n">
        <v>46022</v>
      </c>
      <c r="H48" s="13" t="n">
        <v>8244</v>
      </c>
      <c r="I48" s="14" t="inlineStr">
        <is>
          <t>015</t>
        </is>
      </c>
      <c r="J48" s="14" t="inlineStr">
        <is>
          <t>עבודות שיפוצים</t>
        </is>
      </c>
      <c r="L48" s="14" t="inlineStr">
        <is>
          <t>000</t>
        </is>
      </c>
      <c r="M48" s="15" t="inlineStr">
        <is>
          <t>עבור עבודות שיפוצים</t>
        </is>
      </c>
      <c r="N48" s="14" t="inlineStr">
        <is>
          <t>2112-015</t>
        </is>
      </c>
      <c r="O48" s="16" t="n">
        <v>19776</v>
      </c>
      <c r="P48" s="16" t="n">
        <v>23335.68</v>
      </c>
      <c r="Q48" s="21">
        <f>Table1[[#This Row],[סכום כולל מע"מ]]-Table1[[#This Row],[סכום לפני מעמ2]]</f>
        <v/>
      </c>
    </row>
    <row r="49">
      <c r="B49" t="n">
        <v>47</v>
      </c>
      <c r="C49" t="inlineStr">
        <is>
          <t>חשבוניות מטר</t>
        </is>
      </c>
      <c r="D49" t="n">
        <v>47</v>
      </c>
      <c r="E49" s="11" t="inlineStr">
        <is>
          <t>015-25-000524</t>
        </is>
      </c>
      <c r="F49" t="n">
        <v>60476</v>
      </c>
      <c r="G49" s="12" t="n">
        <v>46022</v>
      </c>
      <c r="H49" s="13" t="n">
        <v>8243</v>
      </c>
      <c r="I49" s="14" t="inlineStr">
        <is>
          <t>015</t>
        </is>
      </c>
      <c r="J49" s="14" t="inlineStr">
        <is>
          <t>עבודות שיפוצים</t>
        </is>
      </c>
      <c r="L49" s="14" t="inlineStr">
        <is>
          <t>000</t>
        </is>
      </c>
      <c r="M49" s="15" t="inlineStr">
        <is>
          <t>עבור עבודות שיפוצים</t>
        </is>
      </c>
      <c r="N49" s="14" t="inlineStr">
        <is>
          <t>2112-015</t>
        </is>
      </c>
      <c r="O49" s="16" t="n">
        <v>19100</v>
      </c>
      <c r="P49" s="16" t="n">
        <v>22538</v>
      </c>
      <c r="Q49" s="21">
        <f>Table1[[#This Row],[סכום כולל מע"מ]]-Table1[[#This Row],[סכום לפני מעמ2]]</f>
        <v/>
      </c>
    </row>
    <row r="50">
      <c r="B50" t="n">
        <v>48</v>
      </c>
      <c r="C50" t="inlineStr">
        <is>
          <t>חשבוניות מטר</t>
        </is>
      </c>
      <c r="D50" t="n">
        <v>48</v>
      </c>
      <c r="E50" s="11" t="inlineStr">
        <is>
          <t>015-25-000525</t>
        </is>
      </c>
      <c r="F50" t="n">
        <v>60476</v>
      </c>
      <c r="G50" s="12" t="n">
        <v>46022</v>
      </c>
      <c r="H50" s="13" t="n">
        <v>8242</v>
      </c>
      <c r="I50" s="14" t="inlineStr">
        <is>
          <t>015</t>
        </is>
      </c>
      <c r="J50" s="14" t="inlineStr">
        <is>
          <t>עבודות שיפוצים</t>
        </is>
      </c>
      <c r="L50" s="14" t="inlineStr">
        <is>
          <t>000</t>
        </is>
      </c>
      <c r="M50" s="15" t="inlineStr">
        <is>
          <t>עבור עבודות שיפוצים</t>
        </is>
      </c>
      <c r="N50" s="14" t="inlineStr">
        <is>
          <t>2112-015</t>
        </is>
      </c>
      <c r="O50" s="16" t="n">
        <v>19100</v>
      </c>
      <c r="P50" s="16" t="n">
        <v>22538</v>
      </c>
      <c r="Q50" s="21">
        <f>Table1[[#This Row],[סכום כולל מע"מ]]-Table1[[#This Row],[סכום לפני מעמ2]]</f>
        <v/>
      </c>
    </row>
    <row r="51">
      <c r="B51" t="n">
        <v>49</v>
      </c>
      <c r="C51" t="inlineStr">
        <is>
          <t>חשבוניות מטר</t>
        </is>
      </c>
      <c r="D51" t="n">
        <v>49</v>
      </c>
      <c r="E51" s="11" t="inlineStr">
        <is>
          <t>015-25-000526</t>
        </is>
      </c>
      <c r="F51" t="n">
        <v>60476</v>
      </c>
      <c r="G51" s="12" t="n">
        <v>46022</v>
      </c>
      <c r="H51" s="13" t="n">
        <v>8241</v>
      </c>
      <c r="I51" s="14" t="inlineStr">
        <is>
          <t>015</t>
        </is>
      </c>
      <c r="J51" s="14" t="inlineStr">
        <is>
          <t>עבודות שיפוצים</t>
        </is>
      </c>
      <c r="L51" s="14" t="inlineStr">
        <is>
          <t>000</t>
        </is>
      </c>
      <c r="M51" s="15" t="inlineStr">
        <is>
          <t>עבור עבודות שיפוצים</t>
        </is>
      </c>
      <c r="N51" s="14" t="inlineStr">
        <is>
          <t>2112-015</t>
        </is>
      </c>
      <c r="O51" s="16" t="n">
        <v>19770</v>
      </c>
      <c r="P51" s="16" t="n">
        <v>23328.6</v>
      </c>
      <c r="Q51" s="21">
        <f>Table1[[#This Row],[סכום כולל מע"מ]]-Table1[[#This Row],[סכום לפני מעמ2]]</f>
        <v/>
      </c>
    </row>
    <row r="52">
      <c r="B52" t="n">
        <v>50</v>
      </c>
      <c r="C52" t="inlineStr">
        <is>
          <t>חשבוניות מטר</t>
        </is>
      </c>
      <c r="D52" t="n">
        <v>50</v>
      </c>
      <c r="E52" s="11" t="inlineStr">
        <is>
          <t>015-25-000527</t>
        </is>
      </c>
      <c r="F52" t="n">
        <v>60476</v>
      </c>
      <c r="G52" s="12" t="n">
        <v>46022</v>
      </c>
      <c r="H52" s="13" t="n">
        <v>8240</v>
      </c>
      <c r="I52" s="14" t="inlineStr">
        <is>
          <t>015</t>
        </is>
      </c>
      <c r="J52" s="14" t="inlineStr">
        <is>
          <t>עבודות שיפוצים</t>
        </is>
      </c>
      <c r="L52" s="14" t="inlineStr">
        <is>
          <t>000</t>
        </is>
      </c>
      <c r="M52" s="15" t="inlineStr">
        <is>
          <t>עבור עבודות שיפוצים</t>
        </is>
      </c>
      <c r="N52" s="14" t="inlineStr">
        <is>
          <t>2112-015</t>
        </is>
      </c>
      <c r="O52" s="16" t="n">
        <v>19980</v>
      </c>
      <c r="P52" s="16" t="n">
        <v>23576.4</v>
      </c>
      <c r="Q52" s="21">
        <f>Table1[[#This Row],[סכום כולל מע"מ]]-Table1[[#This Row],[סכום לפני מעמ2]]</f>
        <v/>
      </c>
    </row>
    <row r="53">
      <c r="B53" t="n">
        <v>51</v>
      </c>
      <c r="C53" t="inlineStr">
        <is>
          <t>חשבוניות מטר</t>
        </is>
      </c>
      <c r="D53" t="n">
        <v>51</v>
      </c>
      <c r="E53" s="11" t="inlineStr">
        <is>
          <t>015-25-000528</t>
        </is>
      </c>
      <c r="F53" t="n">
        <v>60476</v>
      </c>
      <c r="G53" s="12" t="n">
        <v>46022</v>
      </c>
      <c r="H53" s="13" t="n">
        <v>8239</v>
      </c>
      <c r="I53" s="14" t="inlineStr">
        <is>
          <t>015</t>
        </is>
      </c>
      <c r="J53" s="14" t="inlineStr">
        <is>
          <t>עבודות עפר</t>
        </is>
      </c>
      <c r="L53" s="14" t="inlineStr">
        <is>
          <t>000</t>
        </is>
      </c>
      <c r="M53" s="15" t="inlineStr">
        <is>
          <t>עבור עבודות עפר</t>
        </is>
      </c>
      <c r="N53" s="14" t="inlineStr">
        <is>
          <t>2112-015</t>
        </is>
      </c>
      <c r="O53" s="16" t="n">
        <v>19770</v>
      </c>
      <c r="P53" s="16" t="n">
        <v>23328.6</v>
      </c>
      <c r="Q53" s="21">
        <f>Table1[[#This Row],[סכום כולל מע"מ]]-Table1[[#This Row],[סכום לפני מעמ2]]</f>
        <v/>
      </c>
    </row>
    <row r="54">
      <c r="B54" t="n">
        <v>52</v>
      </c>
      <c r="C54" t="inlineStr">
        <is>
          <t>חשבוניות מטר</t>
        </is>
      </c>
      <c r="D54" t="n">
        <v>52</v>
      </c>
      <c r="E54" s="11" t="inlineStr">
        <is>
          <t>015-25-000529</t>
        </is>
      </c>
      <c r="F54" t="n">
        <v>60476</v>
      </c>
      <c r="G54" s="12" t="n">
        <v>46022</v>
      </c>
      <c r="H54" s="13" t="n">
        <v>8238</v>
      </c>
      <c r="I54" s="14" t="inlineStr">
        <is>
          <t>015</t>
        </is>
      </c>
      <c r="J54" s="14" t="inlineStr">
        <is>
          <t>עבודות עפר</t>
        </is>
      </c>
      <c r="L54" s="14" t="inlineStr">
        <is>
          <t>000</t>
        </is>
      </c>
      <c r="M54" s="15" t="inlineStr">
        <is>
          <t>עבור עבודות עפר</t>
        </is>
      </c>
      <c r="N54" s="14" t="inlineStr">
        <is>
          <t>2112-015</t>
        </is>
      </c>
      <c r="O54" s="16" t="n">
        <v>19800</v>
      </c>
      <c r="P54" s="16" t="n">
        <v>23364</v>
      </c>
      <c r="Q54" s="21">
        <f>Table1[[#This Row],[סכום כולל מע"מ]]-Table1[[#This Row],[סכום לפני מעמ2]]</f>
        <v/>
      </c>
    </row>
    <row r="55">
      <c r="B55" t="n">
        <v>53</v>
      </c>
      <c r="C55" t="inlineStr">
        <is>
          <t>חשבוניות מטר</t>
        </is>
      </c>
      <c r="D55" t="n">
        <v>53</v>
      </c>
      <c r="E55" s="11" t="inlineStr">
        <is>
          <t>015-25-000530</t>
        </is>
      </c>
      <c r="F55" t="n">
        <v>60476</v>
      </c>
      <c r="G55" s="12" t="n">
        <v>46022</v>
      </c>
      <c r="H55" s="13" t="n">
        <v>8237</v>
      </c>
      <c r="I55" s="14" t="inlineStr">
        <is>
          <t>015</t>
        </is>
      </c>
      <c r="J55" s="14" t="inlineStr">
        <is>
          <t>עבודות עפר</t>
        </is>
      </c>
      <c r="L55" s="14" t="inlineStr">
        <is>
          <t>000</t>
        </is>
      </c>
      <c r="M55" s="15" t="inlineStr">
        <is>
          <t>עבור עבודות עפר</t>
        </is>
      </c>
      <c r="N55" s="14" t="inlineStr">
        <is>
          <t>2112-015</t>
        </is>
      </c>
      <c r="O55" s="16" t="n">
        <v>19770</v>
      </c>
      <c r="P55" s="16" t="n">
        <v>23328.6</v>
      </c>
      <c r="Q55" s="21">
        <f>Table1[[#This Row],[סכום כולל מע"מ]]-Table1[[#This Row],[סכום לפני מעמ2]]</f>
        <v/>
      </c>
    </row>
    <row r="56">
      <c r="B56" t="n">
        <v>54</v>
      </c>
      <c r="C56" t="inlineStr">
        <is>
          <t>חשבוניות מטר</t>
        </is>
      </c>
      <c r="D56" t="n">
        <v>54</v>
      </c>
      <c r="E56" s="11" t="inlineStr">
        <is>
          <t>015-25-000531</t>
        </is>
      </c>
      <c r="F56" t="n">
        <v>60476</v>
      </c>
      <c r="G56" s="12" t="n">
        <v>46022</v>
      </c>
      <c r="H56" s="13" t="n">
        <v>8236</v>
      </c>
      <c r="I56" s="14" t="inlineStr">
        <is>
          <t>015</t>
        </is>
      </c>
      <c r="J56" s="14" t="inlineStr">
        <is>
          <t>עבודות עפר</t>
        </is>
      </c>
      <c r="L56" s="14" t="inlineStr">
        <is>
          <t>000</t>
        </is>
      </c>
      <c r="M56" s="15" t="inlineStr">
        <is>
          <t>עבור עבודות עפר</t>
        </is>
      </c>
      <c r="N56" s="14" t="inlineStr">
        <is>
          <t>2112-015</t>
        </is>
      </c>
      <c r="O56" s="16" t="n">
        <v>19770</v>
      </c>
      <c r="P56" s="16" t="n">
        <v>23328.6</v>
      </c>
      <c r="Q56" s="21">
        <f>Table1[[#This Row],[סכום כולל מע"מ]]-Table1[[#This Row],[סכום לפני מעמ2]]</f>
        <v/>
      </c>
    </row>
    <row r="57">
      <c r="B57" t="n">
        <v>55</v>
      </c>
      <c r="C57" t="inlineStr">
        <is>
          <t>חשבוניות מטר</t>
        </is>
      </c>
      <c r="D57" t="n">
        <v>55</v>
      </c>
      <c r="E57" s="11" t="inlineStr">
        <is>
          <t>015-25-000532</t>
        </is>
      </c>
      <c r="F57" t="n">
        <v>60476</v>
      </c>
      <c r="G57" s="12" t="n">
        <v>46022</v>
      </c>
      <c r="H57" s="13" t="n">
        <v>8235</v>
      </c>
      <c r="I57" s="14" t="inlineStr">
        <is>
          <t>015</t>
        </is>
      </c>
      <c r="J57" s="14" t="inlineStr">
        <is>
          <t>עבודות עפר</t>
        </is>
      </c>
      <c r="L57" s="14" t="inlineStr">
        <is>
          <t>000</t>
        </is>
      </c>
      <c r="M57" s="15" t="inlineStr">
        <is>
          <t>עבור עבודות עפר</t>
        </is>
      </c>
      <c r="N57" s="14" t="inlineStr">
        <is>
          <t>2112-015</t>
        </is>
      </c>
      <c r="O57" s="16" t="n">
        <v>19300</v>
      </c>
      <c r="P57" s="16" t="n">
        <v>22774</v>
      </c>
      <c r="Q57" s="21">
        <f>Table1[[#This Row],[סכום כולל מע"מ]]-Table1[[#This Row],[סכום לפני מעמ2]]</f>
        <v/>
      </c>
    </row>
    <row r="58">
      <c r="B58" t="n">
        <v>56</v>
      </c>
      <c r="C58" t="inlineStr">
        <is>
          <t>חשבוניות מטר</t>
        </is>
      </c>
      <c r="D58" t="n">
        <v>56</v>
      </c>
      <c r="E58" s="11" t="inlineStr">
        <is>
          <t>015-25-000533</t>
        </is>
      </c>
      <c r="F58" t="n">
        <v>60476</v>
      </c>
      <c r="G58" s="12" t="n">
        <v>46022</v>
      </c>
      <c r="H58" s="13" t="n">
        <v>8234</v>
      </c>
      <c r="I58" s="14" t="inlineStr">
        <is>
          <t>015</t>
        </is>
      </c>
      <c r="J58" s="14" t="inlineStr">
        <is>
          <t>עבודות עפר</t>
        </is>
      </c>
      <c r="L58" s="14" t="inlineStr">
        <is>
          <t>000</t>
        </is>
      </c>
      <c r="M58" s="15" t="inlineStr">
        <is>
          <t>עבור עבודות עפר</t>
        </is>
      </c>
      <c r="N58" s="14" t="inlineStr">
        <is>
          <t>2112-015</t>
        </is>
      </c>
      <c r="O58" s="16" t="n">
        <v>19770</v>
      </c>
      <c r="P58" s="16" t="n">
        <v>23328.6</v>
      </c>
      <c r="Q58" s="21">
        <f>Table1[[#This Row],[סכום כולל מע"מ]]-Table1[[#This Row],[סכום לפני מעמ2]]</f>
        <v/>
      </c>
    </row>
    <row r="59">
      <c r="B59" t="n">
        <v>57</v>
      </c>
      <c r="C59" t="inlineStr">
        <is>
          <t>חשבוניות מטר</t>
        </is>
      </c>
      <c r="D59" t="n">
        <v>57</v>
      </c>
      <c r="E59" s="11" t="inlineStr">
        <is>
          <t>015-25-000534</t>
        </is>
      </c>
      <c r="F59" t="n">
        <v>60476</v>
      </c>
      <c r="G59" s="12" t="n">
        <v>46022</v>
      </c>
      <c r="H59" s="13" t="n">
        <v>8233</v>
      </c>
      <c r="I59" s="14" t="inlineStr">
        <is>
          <t>015</t>
        </is>
      </c>
      <c r="J59" s="14" t="inlineStr">
        <is>
          <t>עבודות עפר</t>
        </is>
      </c>
      <c r="L59" s="14" t="inlineStr">
        <is>
          <t>000</t>
        </is>
      </c>
      <c r="M59" s="15" t="inlineStr">
        <is>
          <t>עבור עבודות עפר</t>
        </is>
      </c>
      <c r="N59" s="14" t="inlineStr">
        <is>
          <t>2112-015</t>
        </is>
      </c>
      <c r="O59" s="16" t="n">
        <v>19900</v>
      </c>
      <c r="P59" s="16" t="n">
        <v>23482</v>
      </c>
      <c r="Q59" s="21">
        <f>Table1[[#This Row],[סכום כולל מע"מ]]-Table1[[#This Row],[סכום לפני מעמ2]]</f>
        <v/>
      </c>
    </row>
    <row r="60">
      <c r="B60" t="n">
        <v>58</v>
      </c>
      <c r="C60" t="inlineStr">
        <is>
          <t>חשבוניות מטר</t>
        </is>
      </c>
      <c r="D60" t="n">
        <v>58</v>
      </c>
      <c r="E60" s="11" t="inlineStr">
        <is>
          <t>015-25-000535</t>
        </is>
      </c>
      <c r="F60" t="n">
        <v>60476</v>
      </c>
      <c r="G60" s="12" t="n">
        <v>46022</v>
      </c>
      <c r="H60" s="13" t="n">
        <v>8232</v>
      </c>
      <c r="I60" s="14" t="inlineStr">
        <is>
          <t>015</t>
        </is>
      </c>
      <c r="J60" s="14" t="inlineStr">
        <is>
          <t>עבודות עפר</t>
        </is>
      </c>
      <c r="L60" s="14" t="inlineStr">
        <is>
          <t>000</t>
        </is>
      </c>
      <c r="M60" s="15" t="inlineStr">
        <is>
          <t>עבור עבודות עפר</t>
        </is>
      </c>
      <c r="N60" s="14" t="inlineStr">
        <is>
          <t>2112-015</t>
        </is>
      </c>
      <c r="O60" s="16" t="n">
        <v>19800</v>
      </c>
      <c r="P60" s="16" t="n">
        <v>23364</v>
      </c>
      <c r="Q60" s="21">
        <f>Table1[[#This Row],[סכום כולל מע"מ]]-Table1[[#This Row],[סכום לפני מעמ2]]</f>
        <v/>
      </c>
    </row>
    <row r="61">
      <c r="B61" t="n">
        <v>59</v>
      </c>
      <c r="C61" t="inlineStr">
        <is>
          <t>חשבוניות מטר</t>
        </is>
      </c>
      <c r="D61" t="n">
        <v>59</v>
      </c>
      <c r="E61" s="11" t="inlineStr">
        <is>
          <t>015-25-000536</t>
        </is>
      </c>
      <c r="F61" t="n">
        <v>60476</v>
      </c>
      <c r="G61" s="12" t="n">
        <v>46022</v>
      </c>
      <c r="H61" s="13" t="n">
        <v>8231</v>
      </c>
      <c r="I61" s="14" t="inlineStr">
        <is>
          <t>015</t>
        </is>
      </c>
      <c r="J61" s="14" t="inlineStr">
        <is>
          <t>עבודות עפר</t>
        </is>
      </c>
      <c r="L61" s="14" t="inlineStr">
        <is>
          <t>000</t>
        </is>
      </c>
      <c r="M61" s="15" t="inlineStr">
        <is>
          <t>עבור עבודות עפר</t>
        </is>
      </c>
      <c r="N61" s="14" t="inlineStr">
        <is>
          <t>2112-015</t>
        </is>
      </c>
      <c r="O61" s="16" t="n">
        <v>19700</v>
      </c>
      <c r="P61" s="16" t="n">
        <v>23246</v>
      </c>
      <c r="Q61" s="21">
        <f>Table1[[#This Row],[סכום כולל מע"מ]]-Table1[[#This Row],[סכום לפני מעמ2]]</f>
        <v/>
      </c>
    </row>
    <row r="62">
      <c r="B62" t="n">
        <v>60</v>
      </c>
      <c r="C62" t="inlineStr">
        <is>
          <t>חשבוניות מטר</t>
        </is>
      </c>
      <c r="D62" t="n">
        <v>60</v>
      </c>
      <c r="E62" s="11" t="inlineStr">
        <is>
          <t>015-25-000537</t>
        </is>
      </c>
      <c r="F62" t="n">
        <v>60476</v>
      </c>
      <c r="G62" s="12" t="n">
        <v>46022</v>
      </c>
      <c r="H62" s="13" t="n">
        <v>8230</v>
      </c>
      <c r="I62" s="14" t="inlineStr">
        <is>
          <t>015</t>
        </is>
      </c>
      <c r="J62" s="14" t="inlineStr">
        <is>
          <t>עבודות עפר</t>
        </is>
      </c>
      <c r="L62" s="14" t="inlineStr">
        <is>
          <t>000</t>
        </is>
      </c>
      <c r="M62" s="15" t="inlineStr">
        <is>
          <t>עבור עבודות עפר</t>
        </is>
      </c>
      <c r="N62" s="14" t="inlineStr">
        <is>
          <t>2112-015</t>
        </is>
      </c>
      <c r="O62" s="16" t="n">
        <v>19900</v>
      </c>
      <c r="P62" s="16" t="n">
        <v>23482</v>
      </c>
      <c r="Q62" s="21">
        <f>Table1[[#This Row],[סכום כולל מע"מ]]-Table1[[#This Row],[סכום לפני מעמ2]]</f>
        <v/>
      </c>
    </row>
    <row r="63">
      <c r="B63" t="n">
        <v>61</v>
      </c>
      <c r="C63" t="inlineStr">
        <is>
          <t>חשבוניות מטר</t>
        </is>
      </c>
      <c r="D63" t="n">
        <v>61</v>
      </c>
      <c r="E63" s="11" t="inlineStr">
        <is>
          <t>015-25-000538</t>
        </is>
      </c>
      <c r="F63" t="n">
        <v>60476</v>
      </c>
      <c r="G63" s="12" t="n">
        <v>46022</v>
      </c>
      <c r="H63" s="13" t="n">
        <v>8229</v>
      </c>
      <c r="I63" s="14" t="inlineStr">
        <is>
          <t>015</t>
        </is>
      </c>
      <c r="J63" s="14" t="inlineStr">
        <is>
          <t>עבודות עפר</t>
        </is>
      </c>
      <c r="L63" s="14" t="inlineStr">
        <is>
          <t>000</t>
        </is>
      </c>
      <c r="M63" s="15" t="inlineStr">
        <is>
          <t>עבור עבודות עפר</t>
        </is>
      </c>
      <c r="N63" s="14" t="inlineStr">
        <is>
          <t>2112-015</t>
        </is>
      </c>
      <c r="O63" s="16" t="n">
        <v>19900</v>
      </c>
      <c r="P63" s="16" t="n">
        <v>23482</v>
      </c>
      <c r="Q63" s="21">
        <f>Table1[[#This Row],[סכום כולל מע"מ]]-Table1[[#This Row],[סכום לפני מעמ2]]</f>
        <v/>
      </c>
    </row>
    <row r="64">
      <c r="B64" t="n">
        <v>62</v>
      </c>
      <c r="C64" t="inlineStr">
        <is>
          <t>חשבוניות מטר</t>
        </is>
      </c>
      <c r="D64" t="n">
        <v>62</v>
      </c>
      <c r="E64" s="11" t="inlineStr">
        <is>
          <t>015-25-000539</t>
        </is>
      </c>
      <c r="F64" t="n">
        <v>60476</v>
      </c>
      <c r="G64" s="12" t="n">
        <v>46022</v>
      </c>
      <c r="H64" s="13" t="n">
        <v>8228</v>
      </c>
      <c r="I64" s="14" t="inlineStr">
        <is>
          <t>015</t>
        </is>
      </c>
      <c r="J64" s="14" t="inlineStr">
        <is>
          <t>עבודות עפר</t>
        </is>
      </c>
      <c r="L64" s="14" t="inlineStr">
        <is>
          <t>000</t>
        </is>
      </c>
      <c r="M64" s="15" t="inlineStr">
        <is>
          <t>עבור עבודות עפר</t>
        </is>
      </c>
      <c r="N64" s="14" t="inlineStr">
        <is>
          <t>2112-015</t>
        </is>
      </c>
      <c r="O64" s="16" t="n">
        <v>19800</v>
      </c>
      <c r="P64" s="16" t="n">
        <v>23364</v>
      </c>
      <c r="Q64" s="21">
        <f>Table1[[#This Row],[סכום כולל מע"מ]]-Table1[[#This Row],[סכום לפני מעמ2]]</f>
        <v/>
      </c>
    </row>
    <row r="65">
      <c r="B65" t="n">
        <v>63</v>
      </c>
      <c r="C65" t="inlineStr">
        <is>
          <t>חשבוניות מטר</t>
        </is>
      </c>
      <c r="D65" t="n">
        <v>63</v>
      </c>
      <c r="E65" s="11" t="inlineStr">
        <is>
          <t>015-25-000540</t>
        </is>
      </c>
      <c r="F65" t="n">
        <v>60476</v>
      </c>
      <c r="G65" s="12" t="n">
        <v>46022</v>
      </c>
      <c r="H65" s="13" t="n">
        <v>8227</v>
      </c>
      <c r="I65" s="14" t="inlineStr">
        <is>
          <t>015</t>
        </is>
      </c>
      <c r="J65" s="14" t="inlineStr">
        <is>
          <t>עבודות עפר</t>
        </is>
      </c>
      <c r="L65" s="14" t="inlineStr">
        <is>
          <t>000</t>
        </is>
      </c>
      <c r="M65" s="15" t="inlineStr">
        <is>
          <t>עבור עבודות עפר</t>
        </is>
      </c>
      <c r="N65" s="14" t="inlineStr">
        <is>
          <t>2112-015</t>
        </is>
      </c>
      <c r="O65" s="16" t="n">
        <v>19900</v>
      </c>
      <c r="P65" s="16" t="n">
        <v>23482</v>
      </c>
      <c r="Q65" s="21">
        <f>Table1[[#This Row],[סכום כולל מע"מ]]-Table1[[#This Row],[סכום לפני מעמ2]]</f>
        <v/>
      </c>
    </row>
    <row r="66">
      <c r="B66" t="n">
        <v>64</v>
      </c>
      <c r="C66" t="inlineStr">
        <is>
          <t>חשבוניות מטר</t>
        </is>
      </c>
      <c r="D66" t="n">
        <v>64</v>
      </c>
      <c r="E66" s="11" t="inlineStr">
        <is>
          <t>015-25-000541</t>
        </is>
      </c>
      <c r="F66" t="n">
        <v>60476</v>
      </c>
      <c r="G66" s="12" t="n">
        <v>46022</v>
      </c>
      <c r="H66" s="13" t="n">
        <v>8226</v>
      </c>
      <c r="I66" s="14" t="inlineStr">
        <is>
          <t>015</t>
        </is>
      </c>
      <c r="J66" s="14" t="inlineStr">
        <is>
          <t>עבודות שלד</t>
        </is>
      </c>
      <c r="L66" s="14" t="inlineStr">
        <is>
          <t>000</t>
        </is>
      </c>
      <c r="M66" s="15" t="inlineStr">
        <is>
          <t>עבור עבודות שלד</t>
        </is>
      </c>
      <c r="N66" s="14" t="inlineStr">
        <is>
          <t>2112-015</t>
        </is>
      </c>
      <c r="O66" s="16" t="n">
        <v>19800</v>
      </c>
      <c r="P66" s="16" t="n">
        <v>23364</v>
      </c>
      <c r="Q66" s="21">
        <f>Table1[[#This Row],[סכום כולל מע"מ]]-Table1[[#This Row],[סכום לפני מעמ2]]</f>
        <v/>
      </c>
    </row>
    <row r="67">
      <c r="B67" t="n">
        <v>65</v>
      </c>
      <c r="C67" t="inlineStr">
        <is>
          <t>חשבוניות מטר</t>
        </is>
      </c>
      <c r="D67" t="n">
        <v>65</v>
      </c>
      <c r="E67" s="11" t="inlineStr">
        <is>
          <t>015-25-000542</t>
        </is>
      </c>
      <c r="F67" t="n">
        <v>60476</v>
      </c>
      <c r="G67" s="12" t="n">
        <v>46022</v>
      </c>
      <c r="H67" s="13" t="n">
        <v>8225</v>
      </c>
      <c r="I67" s="14" t="inlineStr">
        <is>
          <t>015</t>
        </is>
      </c>
      <c r="J67" s="14" t="inlineStr">
        <is>
          <t>עבודות שלד</t>
        </is>
      </c>
      <c r="L67" s="14" t="inlineStr">
        <is>
          <t>000</t>
        </is>
      </c>
      <c r="M67" s="15" t="inlineStr">
        <is>
          <t>עבור עבודות שלד</t>
        </is>
      </c>
      <c r="N67" s="14" t="inlineStr">
        <is>
          <t>2112-015</t>
        </is>
      </c>
      <c r="O67" s="16" t="n">
        <v>19600</v>
      </c>
      <c r="P67" s="16" t="n">
        <v>23128</v>
      </c>
      <c r="Q67" s="21">
        <f>Table1[[#This Row],[סכום כולל מע"מ]]-Table1[[#This Row],[סכום לפני מעמ2]]</f>
        <v/>
      </c>
    </row>
    <row r="68">
      <c r="B68" t="n">
        <v>66</v>
      </c>
      <c r="C68" t="inlineStr">
        <is>
          <t>חשבוניות מטר</t>
        </is>
      </c>
      <c r="D68" t="n">
        <v>66</v>
      </c>
      <c r="E68" s="11" t="inlineStr">
        <is>
          <t>015-25-000543</t>
        </is>
      </c>
      <c r="F68" t="n">
        <v>60476</v>
      </c>
      <c r="G68" s="12" t="n">
        <v>46022</v>
      </c>
      <c r="H68" s="13" t="n">
        <v>8224</v>
      </c>
      <c r="I68" s="14" t="inlineStr">
        <is>
          <t>015</t>
        </is>
      </c>
      <c r="J68" s="14" t="inlineStr">
        <is>
          <t>עבודות שלד</t>
        </is>
      </c>
      <c r="L68" s="14" t="inlineStr">
        <is>
          <t>000</t>
        </is>
      </c>
      <c r="M68" s="15" t="inlineStr">
        <is>
          <t>עבור עבודות שלד</t>
        </is>
      </c>
      <c r="N68" s="14" t="inlineStr">
        <is>
          <t>2112-015</t>
        </is>
      </c>
      <c r="O68" s="16" t="n">
        <v>19980</v>
      </c>
      <c r="P68" s="16" t="n">
        <v>23576.4</v>
      </c>
      <c r="Q68" s="21">
        <f>Table1[[#This Row],[סכום כולל מע"מ]]-Table1[[#This Row],[סכום לפני מעמ2]]</f>
        <v/>
      </c>
    </row>
    <row r="69">
      <c r="B69" t="n">
        <v>67</v>
      </c>
      <c r="C69" t="inlineStr">
        <is>
          <t>חשבוניות מטר</t>
        </is>
      </c>
      <c r="D69" t="n">
        <v>67</v>
      </c>
      <c r="E69" s="11" t="inlineStr">
        <is>
          <t>015-25-000544</t>
        </is>
      </c>
      <c r="F69" t="n">
        <v>60476</v>
      </c>
      <c r="G69" s="12" t="n">
        <v>46022</v>
      </c>
      <c r="H69" s="13" t="n">
        <v>8223</v>
      </c>
      <c r="I69" s="14" t="inlineStr">
        <is>
          <t>015</t>
        </is>
      </c>
      <c r="J69" s="14" t="inlineStr">
        <is>
          <t>עבודות שלד</t>
        </is>
      </c>
      <c r="L69" s="14" t="inlineStr">
        <is>
          <t>000</t>
        </is>
      </c>
      <c r="M69" s="15" t="inlineStr">
        <is>
          <t>עבור עבודות שלד</t>
        </is>
      </c>
      <c r="N69" s="14" t="inlineStr">
        <is>
          <t>2112-015</t>
        </is>
      </c>
      <c r="O69" s="16" t="n">
        <v>19770</v>
      </c>
      <c r="P69" s="16" t="n">
        <v>23328.6</v>
      </c>
      <c r="Q69" s="21">
        <f>Table1[[#This Row],[סכום כולל מע"מ]]-Table1[[#This Row],[סכום לפני מעמ2]]</f>
        <v/>
      </c>
    </row>
    <row r="70">
      <c r="B70" t="n">
        <v>68</v>
      </c>
      <c r="C70" t="inlineStr">
        <is>
          <t>חשבוניות מטר</t>
        </is>
      </c>
      <c r="D70" t="n">
        <v>68</v>
      </c>
      <c r="E70" s="11" t="inlineStr">
        <is>
          <t>015-25-000545</t>
        </is>
      </c>
      <c r="F70" t="n">
        <v>60476</v>
      </c>
      <c r="G70" s="12" t="n">
        <v>46022</v>
      </c>
      <c r="H70" s="13" t="n">
        <v>8222</v>
      </c>
      <c r="I70" s="14" t="inlineStr">
        <is>
          <t>015</t>
        </is>
      </c>
      <c r="J70" s="14" t="inlineStr">
        <is>
          <t>עבודות שלד</t>
        </is>
      </c>
      <c r="L70" s="14" t="inlineStr">
        <is>
          <t>000</t>
        </is>
      </c>
      <c r="M70" s="15" t="inlineStr">
        <is>
          <t>עבור עבודות שלד</t>
        </is>
      </c>
      <c r="N70" s="14" t="inlineStr">
        <is>
          <t>2112-015</t>
        </is>
      </c>
      <c r="O70" s="16" t="n">
        <v>19700</v>
      </c>
      <c r="P70" s="16" t="n">
        <v>23246</v>
      </c>
      <c r="Q70" s="21">
        <f>Table1[[#This Row],[סכום כולל מע"מ]]-Table1[[#This Row],[סכום לפני מעמ2]]</f>
        <v/>
      </c>
    </row>
    <row r="71">
      <c r="B71" t="n">
        <v>69</v>
      </c>
      <c r="C71" t="inlineStr">
        <is>
          <t>חשבוניות מטר</t>
        </is>
      </c>
      <c r="D71" t="n">
        <v>69</v>
      </c>
      <c r="E71" s="11" t="inlineStr">
        <is>
          <t>015-25-000546</t>
        </is>
      </c>
      <c r="F71" t="n">
        <v>60476</v>
      </c>
      <c r="G71" s="12" t="n">
        <v>46022</v>
      </c>
      <c r="H71" s="13" t="n">
        <v>8221</v>
      </c>
      <c r="I71" s="14" t="inlineStr">
        <is>
          <t>015</t>
        </is>
      </c>
      <c r="J71" s="14" t="inlineStr">
        <is>
          <t>עבודות שלד</t>
        </is>
      </c>
      <c r="L71" s="14" t="inlineStr">
        <is>
          <t>000</t>
        </is>
      </c>
      <c r="M71" s="15" t="inlineStr">
        <is>
          <t>עבור עבודות שלד</t>
        </is>
      </c>
      <c r="N71" s="14" t="inlineStr">
        <is>
          <t>2112-015</t>
        </is>
      </c>
      <c r="O71" s="16" t="n">
        <v>19660</v>
      </c>
      <c r="P71" s="16" t="n">
        <v>23198.8</v>
      </c>
      <c r="Q71" s="21">
        <f>Table1[[#This Row],[סכום כולל מע"מ]]-Table1[[#This Row],[סכום לפני מעמ2]]</f>
        <v/>
      </c>
    </row>
    <row r="72">
      <c r="B72" t="n">
        <v>70</v>
      </c>
      <c r="C72" t="inlineStr">
        <is>
          <t>חשבוניות מטר</t>
        </is>
      </c>
      <c r="D72" t="n">
        <v>70</v>
      </c>
      <c r="E72" s="11" t="inlineStr">
        <is>
          <t>015-25-000547</t>
        </is>
      </c>
      <c r="F72" t="n">
        <v>60476</v>
      </c>
      <c r="G72" s="12" t="n">
        <v>46022</v>
      </c>
      <c r="H72" s="13" t="n">
        <v>8220</v>
      </c>
      <c r="I72" s="14" t="inlineStr">
        <is>
          <t>015</t>
        </is>
      </c>
      <c r="J72" s="14" t="inlineStr">
        <is>
          <t>עבודות שלד</t>
        </is>
      </c>
      <c r="L72" s="14" t="inlineStr">
        <is>
          <t>000</t>
        </is>
      </c>
      <c r="M72" s="15" t="inlineStr">
        <is>
          <t>עבור עבודות שלד</t>
        </is>
      </c>
      <c r="N72" s="14" t="inlineStr">
        <is>
          <t>2112-015</t>
        </is>
      </c>
      <c r="O72" s="16" t="n">
        <v>19200</v>
      </c>
      <c r="P72" s="16" t="n">
        <v>22656</v>
      </c>
      <c r="Q72" s="21">
        <f>Table1[[#This Row],[סכום כולל מע"מ]]-Table1[[#This Row],[סכום לפני מעמ2]]</f>
        <v/>
      </c>
    </row>
    <row r="73">
      <c r="B73" t="n">
        <v>71</v>
      </c>
      <c r="C73" t="inlineStr">
        <is>
          <t>חשבוניות מטר</t>
        </is>
      </c>
      <c r="D73" t="n">
        <v>71</v>
      </c>
      <c r="E73" s="11" t="inlineStr">
        <is>
          <t>015-25-000548</t>
        </is>
      </c>
      <c r="F73" t="n">
        <v>60476</v>
      </c>
      <c r="G73" s="12" t="n">
        <v>46022</v>
      </c>
      <c r="H73" s="13" t="n">
        <v>8219</v>
      </c>
      <c r="I73" s="14" t="inlineStr">
        <is>
          <t>015</t>
        </is>
      </c>
      <c r="J73" s="14" t="inlineStr">
        <is>
          <t>עבודות שלד</t>
        </is>
      </c>
      <c r="L73" s="14" t="inlineStr">
        <is>
          <t>000</t>
        </is>
      </c>
      <c r="M73" s="15" t="inlineStr">
        <is>
          <t>עבור עבודות שלד</t>
        </is>
      </c>
      <c r="N73" s="14" t="inlineStr">
        <is>
          <t>2112-015</t>
        </is>
      </c>
      <c r="O73" s="16" t="n">
        <v>19900</v>
      </c>
      <c r="P73" s="16" t="n">
        <v>23482</v>
      </c>
      <c r="Q73" s="21">
        <f>Table1[[#This Row],[סכום כולל מע"מ]]-Table1[[#This Row],[סכום לפני מעמ2]]</f>
        <v/>
      </c>
    </row>
    <row r="74">
      <c r="B74" t="n">
        <v>72</v>
      </c>
      <c r="C74" t="inlineStr">
        <is>
          <t>חשבוניות מטר</t>
        </is>
      </c>
      <c r="D74" t="n">
        <v>72</v>
      </c>
      <c r="E74" s="11" t="inlineStr">
        <is>
          <t>015-25-000549</t>
        </is>
      </c>
      <c r="F74" t="n">
        <v>60476</v>
      </c>
      <c r="G74" s="12" t="n">
        <v>46022</v>
      </c>
      <c r="H74" s="13" t="n">
        <v>8218</v>
      </c>
      <c r="I74" s="14" t="inlineStr">
        <is>
          <t>015</t>
        </is>
      </c>
      <c r="J74" s="14" t="inlineStr">
        <is>
          <t>עבודות שלד</t>
        </is>
      </c>
      <c r="L74" s="14" t="inlineStr">
        <is>
          <t>000</t>
        </is>
      </c>
      <c r="M74" s="15" t="inlineStr">
        <is>
          <t>עבור עבודות שלד</t>
        </is>
      </c>
      <c r="N74" s="14" t="inlineStr">
        <is>
          <t>2112-015</t>
        </is>
      </c>
      <c r="O74" s="16" t="n">
        <v>19100</v>
      </c>
      <c r="P74" s="16" t="n">
        <v>22538</v>
      </c>
      <c r="Q74" s="21">
        <f>Table1[[#This Row],[סכום כולל מע"מ]]-Table1[[#This Row],[סכום לפני מעמ2]]</f>
        <v/>
      </c>
    </row>
    <row r="75">
      <c r="B75" t="n">
        <v>73</v>
      </c>
      <c r="C75" t="inlineStr">
        <is>
          <t>חשבוניות מטר</t>
        </is>
      </c>
      <c r="D75" t="n">
        <v>73</v>
      </c>
      <c r="E75" s="11" t="inlineStr">
        <is>
          <t>015-25-000550</t>
        </is>
      </c>
      <c r="F75" t="n">
        <v>60476</v>
      </c>
      <c r="G75" s="12" t="n">
        <v>46022</v>
      </c>
      <c r="H75" s="13" t="n">
        <v>8217</v>
      </c>
      <c r="I75" s="14" t="inlineStr">
        <is>
          <t>015</t>
        </is>
      </c>
      <c r="J75" s="14" t="inlineStr">
        <is>
          <t>עבודות שלד</t>
        </is>
      </c>
      <c r="L75" s="14" t="inlineStr">
        <is>
          <t>000</t>
        </is>
      </c>
      <c r="M75" s="15" t="inlineStr">
        <is>
          <t>עבור עבודות שלד</t>
        </is>
      </c>
      <c r="N75" s="14" t="inlineStr">
        <is>
          <t>2112-015</t>
        </is>
      </c>
      <c r="O75" s="16" t="n">
        <v>19880</v>
      </c>
      <c r="P75" s="16" t="n">
        <v>23458.4</v>
      </c>
      <c r="Q75" s="21">
        <f>Table1[[#This Row],[סכום כולל מע"מ]]-Table1[[#This Row],[סכום לפני מעמ2]]</f>
        <v/>
      </c>
    </row>
    <row r="76">
      <c r="B76" t="n">
        <v>74</v>
      </c>
      <c r="C76" t="inlineStr">
        <is>
          <t>חשבוניות מטר</t>
        </is>
      </c>
      <c r="D76" t="n">
        <v>74</v>
      </c>
      <c r="E76" s="11" t="inlineStr">
        <is>
          <t>015-25-000551</t>
        </is>
      </c>
      <c r="F76" t="n">
        <v>60476</v>
      </c>
      <c r="G76" s="12" t="n">
        <v>46022</v>
      </c>
      <c r="H76" s="13" t="n">
        <v>8216</v>
      </c>
      <c r="I76" s="14" t="inlineStr">
        <is>
          <t>015</t>
        </is>
      </c>
      <c r="J76" s="14" t="inlineStr">
        <is>
          <t>עבודות שלד</t>
        </is>
      </c>
      <c r="L76" s="14" t="inlineStr">
        <is>
          <t>000</t>
        </is>
      </c>
      <c r="M76" s="15" t="inlineStr">
        <is>
          <t>עבור עבודות שלד</t>
        </is>
      </c>
      <c r="N76" s="14" t="inlineStr">
        <is>
          <t>2112-015</t>
        </is>
      </c>
      <c r="O76" s="16" t="n">
        <v>19200</v>
      </c>
      <c r="P76" s="16" t="n">
        <v>22656</v>
      </c>
      <c r="Q76" s="21">
        <f>Table1[[#This Row],[סכום כולל מע"מ]]-Table1[[#This Row],[סכום לפני מעמ2]]</f>
        <v/>
      </c>
    </row>
    <row r="77">
      <c r="B77" t="n">
        <v>75</v>
      </c>
      <c r="C77" t="inlineStr">
        <is>
          <t>חשבוניות מטר</t>
        </is>
      </c>
      <c r="D77" t="n">
        <v>75</v>
      </c>
      <c r="E77" s="11" t="inlineStr">
        <is>
          <t>015-25-000552</t>
        </is>
      </c>
      <c r="F77" t="n">
        <v>60476</v>
      </c>
      <c r="G77" s="12" t="n">
        <v>46022</v>
      </c>
      <c r="H77" s="13" t="n">
        <v>8215</v>
      </c>
      <c r="I77" s="14" t="inlineStr">
        <is>
          <t>015</t>
        </is>
      </c>
      <c r="J77" s="14" t="inlineStr">
        <is>
          <t>עבודות שלד</t>
        </is>
      </c>
      <c r="L77" s="14" t="inlineStr">
        <is>
          <t>000</t>
        </is>
      </c>
      <c r="M77" s="15" t="inlineStr">
        <is>
          <t>עבור עבודות שלד</t>
        </is>
      </c>
      <c r="N77" s="14" t="inlineStr">
        <is>
          <t>2112-015</t>
        </is>
      </c>
      <c r="O77" s="16" t="n">
        <v>19600</v>
      </c>
      <c r="P77" s="16" t="n">
        <v>23128</v>
      </c>
      <c r="Q77" s="21">
        <f>Table1[[#This Row],[סכום כולל מע"מ]]-Table1[[#This Row],[סכום לפני מעמ2]]</f>
        <v/>
      </c>
    </row>
    <row r="78">
      <c r="B78" t="n">
        <v>76</v>
      </c>
      <c r="C78" t="inlineStr">
        <is>
          <t>חשבוניות מטר</t>
        </is>
      </c>
      <c r="D78" t="n">
        <v>76</v>
      </c>
      <c r="E78" s="11" t="inlineStr">
        <is>
          <t>015-25-000553</t>
        </is>
      </c>
      <c r="F78" t="n">
        <v>60476</v>
      </c>
      <c r="G78" s="12" t="n">
        <v>46022</v>
      </c>
      <c r="H78" s="13" t="n">
        <v>8214</v>
      </c>
      <c r="I78" s="14" t="inlineStr">
        <is>
          <t>015</t>
        </is>
      </c>
      <c r="J78" s="14" t="inlineStr">
        <is>
          <t>עבודות שלד</t>
        </is>
      </c>
      <c r="L78" s="14" t="inlineStr">
        <is>
          <t>000</t>
        </is>
      </c>
      <c r="M78" s="15" t="inlineStr">
        <is>
          <t>עבור עבודות שלד</t>
        </is>
      </c>
      <c r="N78" s="14" t="inlineStr">
        <is>
          <t>2112-015</t>
        </is>
      </c>
      <c r="O78" s="16" t="n">
        <v>19870</v>
      </c>
      <c r="P78" s="16" t="n">
        <v>23446.6</v>
      </c>
      <c r="Q78" s="21">
        <f>Table1[[#This Row],[סכום כולל מע"מ]]-Table1[[#This Row],[סכום לפני מעמ2]]</f>
        <v/>
      </c>
    </row>
    <row r="79">
      <c r="B79" t="n">
        <v>77</v>
      </c>
      <c r="C79" t="inlineStr">
        <is>
          <t>חשבוניות מטר</t>
        </is>
      </c>
      <c r="D79" t="n">
        <v>77</v>
      </c>
      <c r="E79" s="11" t="inlineStr">
        <is>
          <t>015-25-000554</t>
        </is>
      </c>
      <c r="F79" t="n">
        <v>60476</v>
      </c>
      <c r="G79" s="12" t="n">
        <v>46022</v>
      </c>
      <c r="H79" s="13" t="n">
        <v>8213</v>
      </c>
      <c r="I79" s="14" t="inlineStr">
        <is>
          <t>015</t>
        </is>
      </c>
      <c r="J79" s="14" t="inlineStr">
        <is>
          <t>עבודות שלד</t>
        </is>
      </c>
      <c r="L79" s="14" t="inlineStr">
        <is>
          <t>000</t>
        </is>
      </c>
      <c r="M79" s="15" t="inlineStr">
        <is>
          <t>עבור עבודות שלד</t>
        </is>
      </c>
      <c r="N79" s="14" t="inlineStr">
        <is>
          <t>2112-015</t>
        </is>
      </c>
      <c r="O79" s="16" t="n">
        <v>19900</v>
      </c>
      <c r="P79" s="16" t="n">
        <v>23482</v>
      </c>
      <c r="Q79" s="21">
        <f>Table1[[#This Row],[סכום כולל מע"מ]]-Table1[[#This Row],[סכום לפני מעמ2]]</f>
        <v/>
      </c>
    </row>
    <row r="80">
      <c r="B80" t="n">
        <v>78</v>
      </c>
      <c r="C80" t="inlineStr">
        <is>
          <t>חשבוניות מטר</t>
        </is>
      </c>
      <c r="D80" t="n">
        <v>78</v>
      </c>
      <c r="E80" s="11" t="inlineStr">
        <is>
          <t>015-25-000555</t>
        </is>
      </c>
      <c r="F80" t="n">
        <v>60476</v>
      </c>
      <c r="G80" s="12" t="n">
        <v>46022</v>
      </c>
      <c r="H80" s="13" t="n">
        <v>8212</v>
      </c>
      <c r="I80" s="14" t="inlineStr">
        <is>
          <t>015</t>
        </is>
      </c>
      <c r="J80" s="14" t="inlineStr">
        <is>
          <t>עבודות שלד</t>
        </is>
      </c>
      <c r="L80" s="14" t="inlineStr">
        <is>
          <t>000</t>
        </is>
      </c>
      <c r="M80" s="15" t="inlineStr">
        <is>
          <t>עבור עבודות שלד</t>
        </is>
      </c>
      <c r="N80" s="14" t="inlineStr">
        <is>
          <t>2112-015</t>
        </is>
      </c>
      <c r="O80" s="16" t="n">
        <v>19800</v>
      </c>
      <c r="P80" s="16" t="n">
        <v>23364</v>
      </c>
      <c r="Q80" s="21">
        <f>Table1[[#This Row],[סכום כולל מע"מ]]-Table1[[#This Row],[סכום לפני מעמ2]]</f>
        <v/>
      </c>
    </row>
    <row r="81">
      <c r="B81" t="n">
        <v>79</v>
      </c>
      <c r="C81" t="inlineStr">
        <is>
          <t>חשבוניות מטר</t>
        </is>
      </c>
      <c r="D81" t="n">
        <v>79</v>
      </c>
      <c r="E81" s="11" t="inlineStr">
        <is>
          <t>015-25-000556</t>
        </is>
      </c>
      <c r="F81" t="n">
        <v>60476</v>
      </c>
      <c r="G81" s="12" t="n">
        <v>46022</v>
      </c>
      <c r="H81" s="13" t="n">
        <v>8211</v>
      </c>
      <c r="I81" s="14" t="inlineStr">
        <is>
          <t>015</t>
        </is>
      </c>
      <c r="J81" s="14" t="inlineStr">
        <is>
          <t>עבודות שלד</t>
        </is>
      </c>
      <c r="L81" s="14" t="inlineStr">
        <is>
          <t>000</t>
        </is>
      </c>
      <c r="M81" s="15" t="inlineStr">
        <is>
          <t>עבור עבודות שלד</t>
        </is>
      </c>
      <c r="N81" s="14" t="inlineStr">
        <is>
          <t>2112-015</t>
        </is>
      </c>
      <c r="O81" s="16" t="n">
        <v>19700</v>
      </c>
      <c r="P81" s="16" t="n">
        <v>23246</v>
      </c>
      <c r="Q81" s="21">
        <f>Table1[[#This Row],[סכום כולל מע"מ]]-Table1[[#This Row],[סכום לפני מעמ2]]</f>
        <v/>
      </c>
    </row>
    <row r="82">
      <c r="B82" t="n">
        <v>80</v>
      </c>
      <c r="C82" t="inlineStr">
        <is>
          <t>חשבוניות מטר</t>
        </is>
      </c>
      <c r="D82" t="n">
        <v>80</v>
      </c>
      <c r="E82" s="11" t="inlineStr">
        <is>
          <t>015-25-000557</t>
        </is>
      </c>
      <c r="F82" t="n">
        <v>60476</v>
      </c>
      <c r="G82" s="12" t="n">
        <v>46022</v>
      </c>
      <c r="H82" s="13" t="n">
        <v>8210</v>
      </c>
      <c r="I82" s="14" t="inlineStr">
        <is>
          <t>015</t>
        </is>
      </c>
      <c r="J82" s="14" t="inlineStr">
        <is>
          <t>עבודות שלד</t>
        </is>
      </c>
      <c r="L82" s="14" t="inlineStr">
        <is>
          <t>000</t>
        </is>
      </c>
      <c r="M82" s="15" t="inlineStr">
        <is>
          <t>עבור עבודות שלד</t>
        </is>
      </c>
      <c r="N82" s="14" t="inlineStr">
        <is>
          <t>2112-015</t>
        </is>
      </c>
      <c r="O82" s="16" t="n">
        <v>19900</v>
      </c>
      <c r="P82" s="16" t="n">
        <v>23482</v>
      </c>
      <c r="Q82" s="21">
        <f>Table1[[#This Row],[סכום כולל מע"מ]]-Table1[[#This Row],[סכום לפני מעמ2]]</f>
        <v/>
      </c>
    </row>
    <row r="83">
      <c r="B83" t="n">
        <v>81</v>
      </c>
      <c r="C83" t="inlineStr">
        <is>
          <t>חשבוניות מטר</t>
        </is>
      </c>
      <c r="D83" t="n">
        <v>81</v>
      </c>
      <c r="E83" s="11" t="inlineStr">
        <is>
          <t>015-25-000558</t>
        </is>
      </c>
      <c r="F83" t="n">
        <v>60476</v>
      </c>
      <c r="G83" s="12" t="n">
        <v>46022</v>
      </c>
      <c r="H83" s="13" t="n">
        <v>8209</v>
      </c>
      <c r="I83" s="14" t="inlineStr">
        <is>
          <t>015</t>
        </is>
      </c>
      <c r="J83" s="14" t="inlineStr">
        <is>
          <t>עבודות גמר</t>
        </is>
      </c>
      <c r="L83" s="14" t="inlineStr">
        <is>
          <t>000</t>
        </is>
      </c>
      <c r="M83" s="15" t="inlineStr">
        <is>
          <t>עבור עבודות גמר</t>
        </is>
      </c>
      <c r="N83" s="14" t="inlineStr">
        <is>
          <t>2112-015</t>
        </is>
      </c>
      <c r="O83" s="16" t="n">
        <v>19600</v>
      </c>
      <c r="P83" s="16" t="n">
        <v>23128</v>
      </c>
      <c r="Q83" s="21">
        <f>Table1[[#This Row],[סכום כולל מע"מ]]-Table1[[#This Row],[סכום לפני מעמ2]]</f>
        <v/>
      </c>
    </row>
    <row r="84">
      <c r="B84" t="n">
        <v>82</v>
      </c>
      <c r="C84" t="inlineStr">
        <is>
          <t>חשבוניות מטר</t>
        </is>
      </c>
      <c r="D84" t="n">
        <v>82</v>
      </c>
      <c r="E84" s="11" t="inlineStr">
        <is>
          <t>015-25-000559</t>
        </is>
      </c>
      <c r="F84" t="n">
        <v>60476</v>
      </c>
      <c r="G84" s="12" t="n">
        <v>46022</v>
      </c>
      <c r="H84" s="13" t="n">
        <v>8208</v>
      </c>
      <c r="I84" s="14" t="inlineStr">
        <is>
          <t>015</t>
        </is>
      </c>
      <c r="J84" s="14" t="inlineStr">
        <is>
          <t>עבודות גמר</t>
        </is>
      </c>
      <c r="L84" s="14" t="inlineStr">
        <is>
          <t>000</t>
        </is>
      </c>
      <c r="M84" s="15" t="inlineStr">
        <is>
          <t>עבור עבודות גמר</t>
        </is>
      </c>
      <c r="N84" s="14" t="inlineStr">
        <is>
          <t>2112-015</t>
        </is>
      </c>
      <c r="O84" s="16" t="n">
        <v>19400</v>
      </c>
      <c r="P84" s="16" t="n">
        <v>22892</v>
      </c>
      <c r="Q84" s="21">
        <f>Table1[[#This Row],[סכום כולל מע"מ]]-Table1[[#This Row],[סכום לפני מעמ2]]</f>
        <v/>
      </c>
    </row>
    <row r="85">
      <c r="B85" t="n">
        <v>83</v>
      </c>
      <c r="C85" t="inlineStr">
        <is>
          <t>חשבוניות מטר</t>
        </is>
      </c>
      <c r="D85" t="n">
        <v>83</v>
      </c>
      <c r="E85" s="11" t="inlineStr">
        <is>
          <t>015-25-000560</t>
        </is>
      </c>
      <c r="F85" t="n">
        <v>60476</v>
      </c>
      <c r="G85" s="12" t="n">
        <v>46022</v>
      </c>
      <c r="H85" s="13" t="n">
        <v>8207</v>
      </c>
      <c r="I85" s="14" t="inlineStr">
        <is>
          <t>015</t>
        </is>
      </c>
      <c r="J85" s="14" t="inlineStr">
        <is>
          <t>עבודות גמר</t>
        </is>
      </c>
      <c r="L85" s="14" t="inlineStr">
        <is>
          <t>000</t>
        </is>
      </c>
      <c r="M85" s="15" t="inlineStr">
        <is>
          <t>עבור עבודות גמר</t>
        </is>
      </c>
      <c r="N85" s="14" t="inlineStr">
        <is>
          <t>2112-015</t>
        </is>
      </c>
      <c r="O85" s="16" t="n">
        <v>19300</v>
      </c>
      <c r="P85" s="16" t="n">
        <v>22774</v>
      </c>
      <c r="Q85" s="21">
        <f>Table1[[#This Row],[סכום כולל מע"מ]]-Table1[[#This Row],[סכום לפני מעמ2]]</f>
        <v/>
      </c>
    </row>
    <row r="86">
      <c r="B86" t="n">
        <v>84</v>
      </c>
      <c r="C86" t="inlineStr">
        <is>
          <t>חשבוניות מטר</t>
        </is>
      </c>
      <c r="D86" t="n">
        <v>84</v>
      </c>
      <c r="E86" s="11" t="inlineStr">
        <is>
          <t>015-25-000561</t>
        </is>
      </c>
      <c r="F86" t="n">
        <v>60476</v>
      </c>
      <c r="G86" s="12" t="n">
        <v>46022</v>
      </c>
      <c r="H86" s="13" t="n">
        <v>8206</v>
      </c>
      <c r="I86" s="14" t="inlineStr">
        <is>
          <t>015</t>
        </is>
      </c>
      <c r="J86" s="14" t="inlineStr">
        <is>
          <t>עבודות גמר</t>
        </is>
      </c>
      <c r="L86" s="14" t="inlineStr">
        <is>
          <t>000</t>
        </is>
      </c>
      <c r="M86" s="15" t="inlineStr">
        <is>
          <t>עבור עבודות גמר</t>
        </is>
      </c>
      <c r="N86" s="14" t="inlineStr">
        <is>
          <t>2112-015</t>
        </is>
      </c>
      <c r="O86" s="16" t="n">
        <v>19200</v>
      </c>
      <c r="P86" s="16" t="n">
        <v>22656</v>
      </c>
      <c r="Q86" s="21">
        <f>Table1[[#This Row],[סכום כולל מע"מ]]-Table1[[#This Row],[סכום לפני מעמ2]]</f>
        <v/>
      </c>
    </row>
    <row r="87">
      <c r="B87" t="n">
        <v>85</v>
      </c>
      <c r="C87" t="inlineStr">
        <is>
          <t>חשבוניות מטר</t>
        </is>
      </c>
      <c r="D87" t="n">
        <v>85</v>
      </c>
      <c r="E87" s="11" t="inlineStr">
        <is>
          <t>015-25-000562</t>
        </is>
      </c>
      <c r="F87" t="n">
        <v>60476</v>
      </c>
      <c r="G87" s="12" t="n">
        <v>46022</v>
      </c>
      <c r="H87" s="13" t="n">
        <v>8205</v>
      </c>
      <c r="I87" s="14" t="inlineStr">
        <is>
          <t>015</t>
        </is>
      </c>
      <c r="J87" s="14" t="inlineStr">
        <is>
          <t>עבודות גמר</t>
        </is>
      </c>
      <c r="L87" s="14" t="inlineStr">
        <is>
          <t>000</t>
        </is>
      </c>
      <c r="M87" s="15" t="inlineStr">
        <is>
          <t>עבור עבודות גמר</t>
        </is>
      </c>
      <c r="N87" s="14" t="inlineStr">
        <is>
          <t>2112-015</t>
        </is>
      </c>
      <c r="O87" s="16" t="n">
        <v>19100</v>
      </c>
      <c r="P87" s="16" t="n">
        <v>22538</v>
      </c>
      <c r="Q87" s="21">
        <f>Table1[[#This Row],[סכום כולל מע"מ]]-Table1[[#This Row],[סכום לפני מעמ2]]</f>
        <v/>
      </c>
    </row>
    <row r="88">
      <c r="B88" t="n">
        <v>86</v>
      </c>
      <c r="C88" t="inlineStr">
        <is>
          <t>חשבוניות מטר</t>
        </is>
      </c>
      <c r="D88" t="n">
        <v>86</v>
      </c>
      <c r="E88" s="11" t="inlineStr">
        <is>
          <t>015-25-000563</t>
        </is>
      </c>
      <c r="F88" t="n">
        <v>60476</v>
      </c>
      <c r="G88" s="12" t="n">
        <v>46022</v>
      </c>
      <c r="H88" s="13" t="n">
        <v>8204</v>
      </c>
      <c r="I88" s="14" t="inlineStr">
        <is>
          <t>015</t>
        </is>
      </c>
      <c r="J88" s="14" t="inlineStr">
        <is>
          <t>עבודות גמר</t>
        </is>
      </c>
      <c r="L88" s="14" t="inlineStr">
        <is>
          <t>000</t>
        </is>
      </c>
      <c r="M88" s="15" t="inlineStr">
        <is>
          <t>עבור עבודות גמר</t>
        </is>
      </c>
      <c r="N88" s="14" t="inlineStr">
        <is>
          <t>2112-015</t>
        </is>
      </c>
      <c r="O88" s="16" t="n">
        <v>19600</v>
      </c>
      <c r="P88" s="16" t="n">
        <v>23128</v>
      </c>
      <c r="Q88" s="21">
        <f>Table1[[#This Row],[סכום כולל מע"מ]]-Table1[[#This Row],[סכום לפני מעמ2]]</f>
        <v/>
      </c>
    </row>
    <row r="89">
      <c r="B89" t="n">
        <v>87</v>
      </c>
      <c r="C89" t="inlineStr">
        <is>
          <t>חשבוניות מטר</t>
        </is>
      </c>
      <c r="D89" t="n">
        <v>87</v>
      </c>
      <c r="E89" s="11" t="inlineStr">
        <is>
          <t>015-25-000564</t>
        </is>
      </c>
      <c r="F89" t="n">
        <v>60476</v>
      </c>
      <c r="G89" s="12" t="n">
        <v>46022</v>
      </c>
      <c r="H89" s="13" t="n">
        <v>8203</v>
      </c>
      <c r="I89" s="14" t="inlineStr">
        <is>
          <t>015</t>
        </is>
      </c>
      <c r="J89" s="14" t="inlineStr">
        <is>
          <t>עבודות גמר</t>
        </is>
      </c>
      <c r="L89" s="14" t="inlineStr">
        <is>
          <t>000</t>
        </is>
      </c>
      <c r="M89" s="15" t="inlineStr">
        <is>
          <t>עבור עבודות גמר</t>
        </is>
      </c>
      <c r="N89" s="14" t="inlineStr">
        <is>
          <t>2112-015</t>
        </is>
      </c>
      <c r="O89" s="16" t="n">
        <v>19880</v>
      </c>
      <c r="P89" s="16" t="n">
        <v>23458.4</v>
      </c>
      <c r="Q89" s="21">
        <f>Table1[[#This Row],[סכום כולל מע"מ]]-Table1[[#This Row],[סכום לפני מעמ2]]</f>
        <v/>
      </c>
    </row>
    <row r="90">
      <c r="B90" t="n">
        <v>88</v>
      </c>
      <c r="C90" t="inlineStr">
        <is>
          <t>חשבוניות מטר</t>
        </is>
      </c>
      <c r="D90" t="n">
        <v>88</v>
      </c>
      <c r="E90" s="11" t="inlineStr">
        <is>
          <t>015-25-000565</t>
        </is>
      </c>
      <c r="F90" t="n">
        <v>60476</v>
      </c>
      <c r="G90" s="12" t="n">
        <v>46022</v>
      </c>
      <c r="H90" s="13" t="n">
        <v>8202</v>
      </c>
      <c r="I90" s="14" t="inlineStr">
        <is>
          <t>015</t>
        </is>
      </c>
      <c r="J90" s="14" t="inlineStr">
        <is>
          <t>עבודות גמר</t>
        </is>
      </c>
      <c r="L90" s="14" t="inlineStr">
        <is>
          <t>000</t>
        </is>
      </c>
      <c r="M90" s="15" t="inlineStr">
        <is>
          <t>עבור עבודות גמר</t>
        </is>
      </c>
      <c r="N90" s="14" t="inlineStr">
        <is>
          <t>2112-015</t>
        </is>
      </c>
      <c r="O90" s="16" t="n">
        <v>19770</v>
      </c>
      <c r="P90" s="16" t="n">
        <v>23328.6</v>
      </c>
      <c r="Q90" s="21">
        <f>Table1[[#This Row],[סכום כולל מע"מ]]-Table1[[#This Row],[סכום לפני מעמ2]]</f>
        <v/>
      </c>
    </row>
    <row r="91">
      <c r="B91" t="n">
        <v>89</v>
      </c>
      <c r="C91" t="inlineStr">
        <is>
          <t>חשבוניות מטר</t>
        </is>
      </c>
      <c r="D91" t="n">
        <v>89</v>
      </c>
      <c r="E91" s="11" t="inlineStr">
        <is>
          <t>015-25-000566</t>
        </is>
      </c>
      <c r="F91" t="n">
        <v>60476</v>
      </c>
      <c r="G91" s="12" t="n">
        <v>46022</v>
      </c>
      <c r="H91" s="13" t="n">
        <v>8201</v>
      </c>
      <c r="I91" s="14" t="inlineStr">
        <is>
          <t>015</t>
        </is>
      </c>
      <c r="J91" s="14" t="inlineStr">
        <is>
          <t>עבודות גמר</t>
        </is>
      </c>
      <c r="L91" s="14" t="inlineStr">
        <is>
          <t>000</t>
        </is>
      </c>
      <c r="M91" s="15" t="inlineStr">
        <is>
          <t>עבור עבודות גמר</t>
        </is>
      </c>
      <c r="N91" s="14" t="inlineStr">
        <is>
          <t>2112-015</t>
        </is>
      </c>
      <c r="O91" s="16" t="n">
        <v>19990</v>
      </c>
      <c r="P91" s="16" t="n">
        <v>23588.2</v>
      </c>
      <c r="Q91" s="21">
        <f>Table1[[#This Row],[סכום כולל מע"מ]]-Table1[[#This Row],[סכום לפני מעמ2]]</f>
        <v/>
      </c>
    </row>
    <row r="92">
      <c r="B92" t="n">
        <v>90</v>
      </c>
      <c r="C92" t="inlineStr">
        <is>
          <t>חשבוניות מטר</t>
        </is>
      </c>
      <c r="D92" t="n">
        <v>90</v>
      </c>
      <c r="E92" s="11" t="inlineStr">
        <is>
          <t>015-25-000567</t>
        </is>
      </c>
      <c r="F92" t="n">
        <v>60476</v>
      </c>
      <c r="G92" s="12" t="n">
        <v>46022</v>
      </c>
      <c r="H92" s="13" t="n">
        <v>8200</v>
      </c>
      <c r="I92" s="14" t="inlineStr">
        <is>
          <t>015</t>
        </is>
      </c>
      <c r="J92" s="14" t="inlineStr">
        <is>
          <t>עבודות בניה</t>
        </is>
      </c>
      <c r="L92" s="14" t="inlineStr">
        <is>
          <t>000</t>
        </is>
      </c>
      <c r="M92" s="15" t="inlineStr">
        <is>
          <t>עבור עבודות בניה</t>
        </is>
      </c>
      <c r="N92" s="14" t="inlineStr">
        <is>
          <t>2112-015</t>
        </is>
      </c>
      <c r="O92" s="16" t="n">
        <v>19100</v>
      </c>
      <c r="P92" s="16" t="n">
        <v>22538</v>
      </c>
      <c r="Q92" s="21">
        <f>Table1[[#This Row],[סכום כולל מע"מ]]-Table1[[#This Row],[סכום לפני מעמ2]]</f>
        <v/>
      </c>
    </row>
    <row r="93">
      <c r="B93" t="n">
        <v>91</v>
      </c>
      <c r="C93" t="inlineStr">
        <is>
          <t>חשבוניות מטר</t>
        </is>
      </c>
      <c r="D93" t="n">
        <v>91</v>
      </c>
      <c r="E93" s="11" t="inlineStr">
        <is>
          <t>015-25-000568</t>
        </is>
      </c>
      <c r="F93" t="n">
        <v>60476</v>
      </c>
      <c r="G93" s="12" t="n">
        <v>46022</v>
      </c>
      <c r="H93" s="13" t="n">
        <v>8199</v>
      </c>
      <c r="I93" s="14" t="inlineStr">
        <is>
          <t>015</t>
        </is>
      </c>
      <c r="J93" s="14" t="inlineStr">
        <is>
          <t>עבודות בניה</t>
        </is>
      </c>
      <c r="L93" s="14" t="inlineStr">
        <is>
          <t>000</t>
        </is>
      </c>
      <c r="M93" s="15" t="inlineStr">
        <is>
          <t>עבור עבודות בניה</t>
        </is>
      </c>
      <c r="N93" s="14" t="inlineStr">
        <is>
          <t>2112-015</t>
        </is>
      </c>
      <c r="O93" s="16" t="n">
        <v>19600</v>
      </c>
      <c r="P93" s="16" t="n">
        <v>23128</v>
      </c>
      <c r="Q93" s="21">
        <f>Table1[[#This Row],[סכום כולל מע"מ]]-Table1[[#This Row],[סכום לפני מעמ2]]</f>
        <v/>
      </c>
    </row>
    <row r="94">
      <c r="B94" t="n">
        <v>92</v>
      </c>
      <c r="C94" t="inlineStr">
        <is>
          <t>חשבוניות מטר</t>
        </is>
      </c>
      <c r="D94" t="n">
        <v>92</v>
      </c>
      <c r="E94" s="11" t="inlineStr">
        <is>
          <t>015-25-000569</t>
        </is>
      </c>
      <c r="F94" t="n">
        <v>60476</v>
      </c>
      <c r="G94" s="12" t="n">
        <v>46022</v>
      </c>
      <c r="H94" s="13" t="n">
        <v>8198</v>
      </c>
      <c r="I94" s="14" t="inlineStr">
        <is>
          <t>015</t>
        </is>
      </c>
      <c r="J94" s="14" t="inlineStr">
        <is>
          <t>עבודות בניה</t>
        </is>
      </c>
      <c r="L94" s="14" t="inlineStr">
        <is>
          <t>000</t>
        </is>
      </c>
      <c r="M94" s="15" t="inlineStr">
        <is>
          <t>עבור עבודות בניה</t>
        </is>
      </c>
      <c r="N94" s="14" t="inlineStr">
        <is>
          <t>2112-015</t>
        </is>
      </c>
      <c r="O94" s="16" t="n">
        <v>19900</v>
      </c>
      <c r="P94" s="16" t="n">
        <v>23482</v>
      </c>
      <c r="Q94" s="21">
        <f>Table1[[#This Row],[סכום כולל מע"מ]]-Table1[[#This Row],[סכום לפני מעמ2]]</f>
        <v/>
      </c>
    </row>
    <row r="95">
      <c r="B95" t="n">
        <v>93</v>
      </c>
      <c r="C95" t="inlineStr">
        <is>
          <t>חשבוניות מטר</t>
        </is>
      </c>
      <c r="D95" t="n">
        <v>93</v>
      </c>
      <c r="E95" s="11" t="inlineStr">
        <is>
          <t>015-25-000570</t>
        </is>
      </c>
      <c r="F95" t="n">
        <v>60476</v>
      </c>
      <c r="G95" s="12" t="n">
        <v>46022</v>
      </c>
      <c r="H95" s="13" t="n">
        <v>8197</v>
      </c>
      <c r="I95" s="14" t="inlineStr">
        <is>
          <t>015</t>
        </is>
      </c>
      <c r="J95" s="14" t="inlineStr">
        <is>
          <t>עבודות בניה</t>
        </is>
      </c>
      <c r="L95" s="14" t="inlineStr">
        <is>
          <t>000</t>
        </is>
      </c>
      <c r="M95" s="15" t="inlineStr">
        <is>
          <t>עבור עבודות בניה</t>
        </is>
      </c>
      <c r="N95" s="14" t="inlineStr">
        <is>
          <t>2112-015</t>
        </is>
      </c>
      <c r="O95" s="16" t="n">
        <v>19770</v>
      </c>
      <c r="P95" s="16" t="n">
        <v>23328.6</v>
      </c>
      <c r="Q95" s="21">
        <f>Table1[[#This Row],[סכום כולל מע"מ]]-Table1[[#This Row],[סכום לפני מעמ2]]</f>
        <v/>
      </c>
    </row>
    <row r="96">
      <c r="B96" t="n">
        <v>94</v>
      </c>
      <c r="C96" t="inlineStr">
        <is>
          <t>חשבוניות מטר</t>
        </is>
      </c>
      <c r="D96" t="n">
        <v>94</v>
      </c>
      <c r="E96" s="11" t="inlineStr">
        <is>
          <t>015-25-000571</t>
        </is>
      </c>
      <c r="F96" t="n">
        <v>60476</v>
      </c>
      <c r="G96" s="12" t="n">
        <v>46022</v>
      </c>
      <c r="H96" s="13" t="n">
        <v>8196</v>
      </c>
      <c r="I96" s="14" t="inlineStr">
        <is>
          <t>015</t>
        </is>
      </c>
      <c r="J96" s="14" t="inlineStr">
        <is>
          <t>עבודות בניה</t>
        </is>
      </c>
      <c r="L96" s="14" t="inlineStr">
        <is>
          <t>000</t>
        </is>
      </c>
      <c r="M96" s="15" t="inlineStr">
        <is>
          <t>עבור עבודות בניה</t>
        </is>
      </c>
      <c r="N96" s="14" t="inlineStr">
        <is>
          <t>2112-015</t>
        </is>
      </c>
      <c r="O96" s="16" t="n">
        <v>19900</v>
      </c>
      <c r="P96" s="16" t="n">
        <v>23482</v>
      </c>
      <c r="Q96" s="21">
        <f>Table1[[#This Row],[סכום כולל מע"מ]]-Table1[[#This Row],[סכום לפני מעמ2]]</f>
        <v/>
      </c>
    </row>
    <row r="97">
      <c r="B97" t="n">
        <v>95</v>
      </c>
      <c r="C97" t="inlineStr">
        <is>
          <t>חשבוניות מטר</t>
        </is>
      </c>
      <c r="D97" t="n">
        <v>95</v>
      </c>
      <c r="E97" s="11" t="inlineStr">
        <is>
          <t>015-25-000572</t>
        </is>
      </c>
      <c r="F97" t="n">
        <v>60476</v>
      </c>
      <c r="G97" s="12" t="n">
        <v>46022</v>
      </c>
      <c r="H97" s="13" t="n">
        <v>8195</v>
      </c>
      <c r="I97" s="14" t="inlineStr">
        <is>
          <t>015</t>
        </is>
      </c>
      <c r="J97" s="14" t="inlineStr">
        <is>
          <t>עבודות שיפוצים</t>
        </is>
      </c>
      <c r="L97" s="14" t="inlineStr">
        <is>
          <t>000</t>
        </is>
      </c>
      <c r="M97" s="15" t="inlineStr">
        <is>
          <t>עבור עבודות שיפוצים</t>
        </is>
      </c>
      <c r="N97" s="14" t="inlineStr">
        <is>
          <t>2112-015</t>
        </is>
      </c>
      <c r="O97" s="16" t="n">
        <v>19800</v>
      </c>
      <c r="P97" s="16" t="n">
        <v>23364</v>
      </c>
      <c r="Q97" s="21">
        <f>Table1[[#This Row],[סכום כולל מע"מ]]-Table1[[#This Row],[סכום לפני מעמ2]]</f>
        <v/>
      </c>
    </row>
    <row r="98">
      <c r="B98" t="n">
        <v>96</v>
      </c>
      <c r="C98" t="inlineStr">
        <is>
          <t>חשבוניות מטר</t>
        </is>
      </c>
      <c r="D98" t="n">
        <v>96</v>
      </c>
      <c r="E98" s="11" t="inlineStr">
        <is>
          <t>015-25-000573</t>
        </is>
      </c>
      <c r="F98" t="n">
        <v>60476</v>
      </c>
      <c r="G98" s="12" t="n">
        <v>46022</v>
      </c>
      <c r="H98" s="13" t="n">
        <v>8194</v>
      </c>
      <c r="I98" s="14" t="inlineStr">
        <is>
          <t>015</t>
        </is>
      </c>
      <c r="J98" s="14" t="inlineStr">
        <is>
          <t>עבודות שיפוצים</t>
        </is>
      </c>
      <c r="L98" s="14" t="inlineStr">
        <is>
          <t>000</t>
        </is>
      </c>
      <c r="M98" s="15" t="inlineStr">
        <is>
          <t>עבור עבודות שיפוצים</t>
        </is>
      </c>
      <c r="N98" s="14" t="inlineStr">
        <is>
          <t>2112-015</t>
        </is>
      </c>
      <c r="O98" s="16" t="n">
        <v>19660</v>
      </c>
      <c r="P98" s="16" t="n">
        <v>23198.8</v>
      </c>
      <c r="Q98" s="21">
        <f>Table1[[#This Row],[סכום כולל מע"מ]]-Table1[[#This Row],[סכום לפני מעמ2]]</f>
        <v/>
      </c>
    </row>
    <row r="99">
      <c r="B99" t="n">
        <v>97</v>
      </c>
      <c r="C99" t="inlineStr">
        <is>
          <t>חשבוניות מטר</t>
        </is>
      </c>
      <c r="D99" t="n">
        <v>97</v>
      </c>
      <c r="E99" s="11" t="inlineStr">
        <is>
          <t>015-25-000574</t>
        </is>
      </c>
      <c r="F99" t="n">
        <v>60476</v>
      </c>
      <c r="G99" s="12" t="n">
        <v>46022</v>
      </c>
      <c r="H99" s="13" t="n">
        <v>8193</v>
      </c>
      <c r="I99" s="14" t="inlineStr">
        <is>
          <t>015</t>
        </is>
      </c>
      <c r="J99" s="14" t="inlineStr">
        <is>
          <t>עבודות שיפוצים</t>
        </is>
      </c>
      <c r="L99" s="14" t="inlineStr">
        <is>
          <t>000</t>
        </is>
      </c>
      <c r="M99" s="15" t="inlineStr">
        <is>
          <t>עבור עבודות שיפוצים</t>
        </is>
      </c>
      <c r="N99" s="14" t="inlineStr">
        <is>
          <t>2112-015</t>
        </is>
      </c>
      <c r="O99" s="16" t="n">
        <v>19100</v>
      </c>
      <c r="P99" s="16" t="n">
        <v>22538</v>
      </c>
      <c r="Q99" s="21">
        <f>Table1[[#This Row],[סכום כולל מע"מ]]-Table1[[#This Row],[סכום לפני מעמ2]]</f>
        <v/>
      </c>
    </row>
    <row r="100">
      <c r="B100" t="n">
        <v>98</v>
      </c>
      <c r="C100" t="inlineStr">
        <is>
          <t>חשבוניות מטר</t>
        </is>
      </c>
      <c r="D100" t="n">
        <v>98</v>
      </c>
      <c r="E100" s="11" t="inlineStr">
        <is>
          <t>015-25-000575</t>
        </is>
      </c>
      <c r="F100" t="n">
        <v>60476</v>
      </c>
      <c r="G100" s="12" t="n">
        <v>46022</v>
      </c>
      <c r="H100" s="13" t="n">
        <v>8192</v>
      </c>
      <c r="I100" s="14" t="inlineStr">
        <is>
          <t>015</t>
        </is>
      </c>
      <c r="J100" s="14" t="inlineStr">
        <is>
          <t>עבודות שיפוצים</t>
        </is>
      </c>
      <c r="L100" s="14" t="inlineStr">
        <is>
          <t>000</t>
        </is>
      </c>
      <c r="M100" s="15" t="inlineStr">
        <is>
          <t>עבור עבודות שיפוצים</t>
        </is>
      </c>
      <c r="N100" s="14" t="inlineStr">
        <is>
          <t>2112-015</t>
        </is>
      </c>
      <c r="O100" s="16" t="n">
        <v>19200</v>
      </c>
      <c r="P100" s="16" t="n">
        <v>22656</v>
      </c>
      <c r="Q100" s="21">
        <f>Table1[[#This Row],[סכום כולל מע"מ]]-Table1[[#This Row],[סכום לפני מעמ2]]</f>
        <v/>
      </c>
    </row>
    <row r="101">
      <c r="B101" t="n">
        <v>99</v>
      </c>
      <c r="C101" t="inlineStr">
        <is>
          <t>חשבוניות מטר</t>
        </is>
      </c>
      <c r="D101" t="n">
        <v>99</v>
      </c>
      <c r="E101" s="11" t="inlineStr">
        <is>
          <t>015-25-000576</t>
        </is>
      </c>
      <c r="F101" t="n">
        <v>60476</v>
      </c>
      <c r="G101" s="12" t="n">
        <v>46022</v>
      </c>
      <c r="H101" s="13" t="n">
        <v>8191</v>
      </c>
      <c r="I101" s="14" t="inlineStr">
        <is>
          <t>015</t>
        </is>
      </c>
      <c r="J101" s="14" t="inlineStr">
        <is>
          <t>עבודות שיפוצים</t>
        </is>
      </c>
      <c r="L101" s="14" t="inlineStr">
        <is>
          <t>000</t>
        </is>
      </c>
      <c r="M101" s="15" t="inlineStr">
        <is>
          <t>עבור עבודות שיפוצים</t>
        </is>
      </c>
      <c r="N101" s="14" t="inlineStr">
        <is>
          <t>2112-015</t>
        </is>
      </c>
      <c r="O101" s="16" t="n">
        <v>19100</v>
      </c>
      <c r="P101" s="16" t="n">
        <v>22538</v>
      </c>
      <c r="Q101" s="21">
        <f>Table1[[#This Row],[סכום כולל מע"מ]]-Table1[[#This Row],[סכום לפני מעמ2]]</f>
        <v/>
      </c>
    </row>
    <row r="102">
      <c r="B102" t="n">
        <v>100</v>
      </c>
      <c r="C102" t="inlineStr">
        <is>
          <t>חשבוניות מטר</t>
        </is>
      </c>
      <c r="D102" t="n">
        <v>100</v>
      </c>
      <c r="E102" s="11" t="inlineStr">
        <is>
          <t>015-25-000577</t>
        </is>
      </c>
      <c r="F102" t="n">
        <v>60476</v>
      </c>
      <c r="G102" s="12" t="n">
        <v>46022</v>
      </c>
      <c r="H102" s="13" t="n">
        <v>8190</v>
      </c>
      <c r="I102" s="14" t="inlineStr">
        <is>
          <t>015</t>
        </is>
      </c>
      <c r="J102" s="14" t="inlineStr">
        <is>
          <t>עבודות שיפוצים</t>
        </is>
      </c>
      <c r="L102" s="14" t="inlineStr">
        <is>
          <t>000</t>
        </is>
      </c>
      <c r="M102" s="15" t="inlineStr">
        <is>
          <t>עבור עבודות שיפוצים</t>
        </is>
      </c>
      <c r="N102" s="14" t="inlineStr">
        <is>
          <t>2112-015</t>
        </is>
      </c>
      <c r="O102" s="16" t="n">
        <v>19700</v>
      </c>
      <c r="P102" s="16" t="n">
        <v>23246</v>
      </c>
      <c r="Q102" s="21">
        <f>Table1[[#This Row],[סכום כולל מע"מ]]-Table1[[#This Row],[סכום לפני מעמ2]]</f>
        <v/>
      </c>
    </row>
    <row r="103">
      <c r="B103" t="n">
        <v>101</v>
      </c>
      <c r="C103" t="inlineStr">
        <is>
          <t>חשבוניות מטר</t>
        </is>
      </c>
      <c r="D103" t="n">
        <v>101</v>
      </c>
      <c r="E103" s="11" t="inlineStr">
        <is>
          <t>015-25-000578</t>
        </is>
      </c>
      <c r="F103" t="n">
        <v>60476</v>
      </c>
      <c r="G103" s="12" t="n">
        <v>46022</v>
      </c>
      <c r="H103" s="13" t="n">
        <v>8189</v>
      </c>
      <c r="I103" s="14" t="inlineStr">
        <is>
          <t>015</t>
        </is>
      </c>
      <c r="J103" s="14" t="inlineStr">
        <is>
          <t>עבודות שיפוצים</t>
        </is>
      </c>
      <c r="L103" s="14" t="inlineStr">
        <is>
          <t>000</t>
        </is>
      </c>
      <c r="M103" s="15" t="inlineStr">
        <is>
          <t>עבור עבודות שיפוצים</t>
        </is>
      </c>
      <c r="N103" s="14" t="inlineStr">
        <is>
          <t>2112-015</t>
        </is>
      </c>
      <c r="O103" s="16" t="n">
        <v>19770</v>
      </c>
      <c r="P103" s="16" t="n">
        <v>23328.6</v>
      </c>
      <c r="Q103" s="21">
        <f>Table1[[#This Row],[סכום כולל מע"מ]]-Table1[[#This Row],[סכום לפני מעמ2]]</f>
        <v/>
      </c>
    </row>
    <row r="104">
      <c r="B104" t="n">
        <v>102</v>
      </c>
      <c r="C104" t="inlineStr">
        <is>
          <t>חשבוניות מטר</t>
        </is>
      </c>
      <c r="D104" t="n">
        <v>102</v>
      </c>
      <c r="E104" s="11" t="inlineStr">
        <is>
          <t>015-25-000579</t>
        </is>
      </c>
      <c r="F104" t="n">
        <v>60476</v>
      </c>
      <c r="G104" s="12" t="n">
        <v>46022</v>
      </c>
      <c r="H104" s="13" t="n">
        <v>8188</v>
      </c>
      <c r="I104" s="14" t="inlineStr">
        <is>
          <t>015</t>
        </is>
      </c>
      <c r="J104" s="14" t="inlineStr">
        <is>
          <t>עבודות שיפוצים</t>
        </is>
      </c>
      <c r="L104" s="14" t="inlineStr">
        <is>
          <t>000</t>
        </is>
      </c>
      <c r="M104" s="15" t="inlineStr">
        <is>
          <t>עבור עבודות שיפוצים</t>
        </is>
      </c>
      <c r="N104" s="14" t="inlineStr">
        <is>
          <t>2112-015</t>
        </is>
      </c>
      <c r="O104" s="16" t="n">
        <v>19980</v>
      </c>
      <c r="P104" s="16" t="n">
        <v>23576.4</v>
      </c>
      <c r="Q104" s="21">
        <f>Table1[[#This Row],[סכום כולל מע"מ]]-Table1[[#This Row],[סכום לפני מעמ2]]</f>
        <v/>
      </c>
    </row>
    <row r="105">
      <c r="B105" t="n">
        <v>103</v>
      </c>
      <c r="C105" t="inlineStr">
        <is>
          <t>חשבוניות מטר</t>
        </is>
      </c>
      <c r="D105" t="n">
        <v>103</v>
      </c>
      <c r="E105" s="11" t="inlineStr">
        <is>
          <t>015-25-000580</t>
        </is>
      </c>
      <c r="F105" t="n">
        <v>60476</v>
      </c>
      <c r="G105" s="12" t="n">
        <v>46022</v>
      </c>
      <c r="H105" s="13" t="n">
        <v>8341</v>
      </c>
      <c r="I105" s="14" t="inlineStr">
        <is>
          <t>015</t>
        </is>
      </c>
      <c r="J105" s="14" t="inlineStr">
        <is>
          <t>עבודות עפר</t>
        </is>
      </c>
      <c r="L105" s="14" t="inlineStr">
        <is>
          <t>000</t>
        </is>
      </c>
      <c r="M105" s="15" t="inlineStr">
        <is>
          <t>עבור עבודות עפר</t>
        </is>
      </c>
      <c r="N105" s="14" t="inlineStr">
        <is>
          <t>2112-015</t>
        </is>
      </c>
      <c r="O105" s="16" t="n">
        <v>11781</v>
      </c>
      <c r="P105" s="16" t="n">
        <v>13901.58</v>
      </c>
      <c r="Q105" s="21">
        <f>Table1[[#This Row],[סכום כולל מע"מ]]-Table1[[#This Row],[סכום לפני מעמ2]]</f>
        <v/>
      </c>
    </row>
    <row r="106">
      <c r="B106" t="n">
        <v>104</v>
      </c>
      <c r="C106" t="inlineStr">
        <is>
          <t>חשבוניות מטר</t>
        </is>
      </c>
      <c r="D106" t="n">
        <v>104</v>
      </c>
      <c r="E106" s="11" t="inlineStr">
        <is>
          <t>015-25-000581</t>
        </is>
      </c>
      <c r="F106" t="n">
        <v>60476</v>
      </c>
      <c r="G106" s="12" t="n">
        <v>46022</v>
      </c>
      <c r="H106" s="13" t="n">
        <v>8340</v>
      </c>
      <c r="I106" s="14" t="inlineStr">
        <is>
          <t>015</t>
        </is>
      </c>
      <c r="J106" s="14" t="inlineStr">
        <is>
          <t>עבודות בניה</t>
        </is>
      </c>
      <c r="L106" s="14" t="inlineStr">
        <is>
          <t>000</t>
        </is>
      </c>
      <c r="M106" s="15" t="inlineStr">
        <is>
          <t>עבור עבודות בניה</t>
        </is>
      </c>
      <c r="N106" s="14" t="inlineStr">
        <is>
          <t>2112-015</t>
        </is>
      </c>
      <c r="O106" s="16" t="n">
        <v>17000</v>
      </c>
      <c r="P106" s="16" t="n">
        <v>20060</v>
      </c>
      <c r="Q106" s="21">
        <f>Table1[[#This Row],[סכום כולל מע"מ]]-Table1[[#This Row],[סכום לפני מעמ2]]</f>
        <v/>
      </c>
    </row>
    <row r="107">
      <c r="B107" t="n">
        <v>105</v>
      </c>
      <c r="C107" t="inlineStr">
        <is>
          <t>חשבוניות מטר</t>
        </is>
      </c>
      <c r="D107" t="n">
        <v>105</v>
      </c>
      <c r="E107" s="11" t="inlineStr">
        <is>
          <t>015-25-000582</t>
        </is>
      </c>
      <c r="F107" t="n">
        <v>60476</v>
      </c>
      <c r="G107" s="12" t="n">
        <v>46022</v>
      </c>
      <c r="H107" s="13" t="n">
        <v>8339</v>
      </c>
      <c r="I107" s="14" t="inlineStr">
        <is>
          <t>015</t>
        </is>
      </c>
      <c r="J107" s="14" t="inlineStr">
        <is>
          <t>עבודות בניה</t>
        </is>
      </c>
      <c r="L107" s="14" t="inlineStr">
        <is>
          <t>000</t>
        </is>
      </c>
      <c r="M107" s="15" t="inlineStr">
        <is>
          <t>עבור עבודות בניה</t>
        </is>
      </c>
      <c r="N107" s="14" t="inlineStr">
        <is>
          <t>2112-015</t>
        </is>
      </c>
      <c r="O107" s="16" t="n">
        <v>15000</v>
      </c>
      <c r="P107" s="16" t="n">
        <v>17700</v>
      </c>
      <c r="Q107" s="21">
        <f>Table1[[#This Row],[סכום כולל מע"מ]]-Table1[[#This Row],[סכום לפני מעמ2]]</f>
        <v/>
      </c>
    </row>
    <row r="108">
      <c r="B108" t="n">
        <v>106</v>
      </c>
      <c r="C108" t="inlineStr">
        <is>
          <t>חשבוניות מטר</t>
        </is>
      </c>
      <c r="D108" t="n">
        <v>106</v>
      </c>
      <c r="E108" s="11" t="inlineStr">
        <is>
          <t>015-25-000583</t>
        </is>
      </c>
      <c r="F108" t="n">
        <v>60476</v>
      </c>
      <c r="G108" s="12" t="n">
        <v>46022</v>
      </c>
      <c r="H108" s="13" t="n">
        <v>8338</v>
      </c>
      <c r="I108" s="14" t="inlineStr">
        <is>
          <t>015</t>
        </is>
      </c>
      <c r="J108" s="14" t="inlineStr">
        <is>
          <t>עבודות שיפוצים</t>
        </is>
      </c>
      <c r="L108" s="14" t="inlineStr">
        <is>
          <t>000</t>
        </is>
      </c>
      <c r="M108" s="15" t="inlineStr">
        <is>
          <t>עבור עבודות שיפוצים</t>
        </is>
      </c>
      <c r="N108" s="14" t="inlineStr">
        <is>
          <t>2112-015</t>
        </is>
      </c>
      <c r="O108" s="16" t="n">
        <v>19300</v>
      </c>
      <c r="P108" s="16" t="n">
        <v>22774</v>
      </c>
      <c r="Q108" s="21">
        <f>Table1[[#This Row],[סכום כולל מע"מ]]-Table1[[#This Row],[סכום לפני מעמ2]]</f>
        <v/>
      </c>
    </row>
    <row r="109">
      <c r="B109" t="n">
        <v>107</v>
      </c>
      <c r="C109" t="inlineStr">
        <is>
          <t>חשבוניות מטר</t>
        </is>
      </c>
      <c r="D109" t="n">
        <v>107</v>
      </c>
      <c r="E109" s="11" t="inlineStr">
        <is>
          <t>015-25-000584</t>
        </is>
      </c>
      <c r="F109" t="n">
        <v>60476</v>
      </c>
      <c r="G109" s="12" t="n">
        <v>46022</v>
      </c>
      <c r="H109" s="13" t="n">
        <v>8337</v>
      </c>
      <c r="I109" s="14" t="inlineStr">
        <is>
          <t>015</t>
        </is>
      </c>
      <c r="J109" s="14" t="inlineStr">
        <is>
          <t>עבודות שיפוצים</t>
        </is>
      </c>
      <c r="L109" s="14" t="inlineStr">
        <is>
          <t>000</t>
        </is>
      </c>
      <c r="M109" s="15" t="inlineStr">
        <is>
          <t>עבור עבודות שיפוצים</t>
        </is>
      </c>
      <c r="N109" s="14" t="inlineStr">
        <is>
          <t>2112-015</t>
        </is>
      </c>
      <c r="O109" s="16" t="n">
        <v>18100</v>
      </c>
      <c r="P109" s="16" t="n">
        <v>21358</v>
      </c>
      <c r="Q109" s="21">
        <f>Table1[[#This Row],[סכום כולל מע"מ]]-Table1[[#This Row],[סכום לפני מעמ2]]</f>
        <v/>
      </c>
    </row>
    <row r="110">
      <c r="B110" t="n">
        <v>108</v>
      </c>
      <c r="C110" t="inlineStr">
        <is>
          <t>חשבוניות מטר</t>
        </is>
      </c>
      <c r="D110" t="n">
        <v>108</v>
      </c>
      <c r="E110" s="11" t="inlineStr">
        <is>
          <t>015-25-000585</t>
        </is>
      </c>
      <c r="F110" t="n">
        <v>60476</v>
      </c>
      <c r="G110" s="12" t="n">
        <v>46022</v>
      </c>
      <c r="H110" s="13" t="n">
        <v>8336</v>
      </c>
      <c r="I110" s="14" t="inlineStr">
        <is>
          <t>015</t>
        </is>
      </c>
      <c r="J110" s="14" t="inlineStr">
        <is>
          <t>עבודות בניה</t>
        </is>
      </c>
      <c r="L110" s="14" t="inlineStr">
        <is>
          <t>000</t>
        </is>
      </c>
      <c r="M110" s="15" t="inlineStr">
        <is>
          <t>עבור עבודות בניה</t>
        </is>
      </c>
      <c r="N110" s="14" t="inlineStr">
        <is>
          <t>2112-015</t>
        </is>
      </c>
      <c r="O110" s="16" t="n">
        <v>19100</v>
      </c>
      <c r="P110" s="16" t="n">
        <v>22538</v>
      </c>
      <c r="Q110" s="21">
        <f>Table1[[#This Row],[סכום כולל מע"מ]]-Table1[[#This Row],[סכום לפני מעמ2]]</f>
        <v/>
      </c>
    </row>
    <row r="111">
      <c r="B111" t="n">
        <v>109</v>
      </c>
      <c r="C111" t="inlineStr">
        <is>
          <t>חשבוניות מטר</t>
        </is>
      </c>
      <c r="D111" t="n">
        <v>109</v>
      </c>
      <c r="E111" s="11" t="inlineStr">
        <is>
          <t>015-25-000586</t>
        </is>
      </c>
      <c r="F111" t="n">
        <v>60476</v>
      </c>
      <c r="G111" s="12" t="n">
        <v>46022</v>
      </c>
      <c r="H111" s="13" t="n">
        <v>8335</v>
      </c>
      <c r="I111" s="14" t="inlineStr">
        <is>
          <t>015</t>
        </is>
      </c>
      <c r="J111" s="14" t="inlineStr">
        <is>
          <t>עבודות בניה</t>
        </is>
      </c>
      <c r="L111" s="14" t="inlineStr">
        <is>
          <t>000</t>
        </is>
      </c>
      <c r="M111" s="15" t="inlineStr">
        <is>
          <t>עבור עבודות בניה</t>
        </is>
      </c>
      <c r="N111" s="14" t="inlineStr">
        <is>
          <t>2112-015</t>
        </is>
      </c>
      <c r="O111" s="16" t="n">
        <v>19900</v>
      </c>
      <c r="P111" s="16" t="n">
        <v>23482</v>
      </c>
      <c r="Q111" s="21">
        <f>Table1[[#This Row],[סכום כולל מע"מ]]-Table1[[#This Row],[סכום לפני מעמ2]]</f>
        <v/>
      </c>
    </row>
    <row r="112">
      <c r="B112" t="n">
        <v>110</v>
      </c>
      <c r="C112" t="inlineStr">
        <is>
          <t>חשבוניות מטר</t>
        </is>
      </c>
      <c r="D112" t="n">
        <v>110</v>
      </c>
      <c r="E112" s="11" t="inlineStr">
        <is>
          <t>015-25-000587</t>
        </is>
      </c>
      <c r="F112" t="n">
        <v>60476</v>
      </c>
      <c r="G112" s="12" t="n">
        <v>46022</v>
      </c>
      <c r="H112" s="13" t="n">
        <v>8334</v>
      </c>
      <c r="I112" s="14" t="inlineStr">
        <is>
          <t>015</t>
        </is>
      </c>
      <c r="J112" s="14" t="inlineStr">
        <is>
          <t>עבודות בניה</t>
        </is>
      </c>
      <c r="L112" s="14" t="inlineStr">
        <is>
          <t>000</t>
        </is>
      </c>
      <c r="M112" s="15" t="inlineStr">
        <is>
          <t>עבור עבודות בניה</t>
        </is>
      </c>
      <c r="N112" s="14" t="inlineStr">
        <is>
          <t>2112-015</t>
        </is>
      </c>
      <c r="O112" s="16" t="n">
        <v>19100</v>
      </c>
      <c r="P112" s="16" t="n">
        <v>22538</v>
      </c>
      <c r="Q112" s="21">
        <f>Table1[[#This Row],[סכום כולל מע"מ]]-Table1[[#This Row],[סכום לפני מעמ2]]</f>
        <v/>
      </c>
    </row>
    <row r="113">
      <c r="B113" t="n">
        <v>111</v>
      </c>
      <c r="C113" t="inlineStr">
        <is>
          <t>חשבוניות מטר</t>
        </is>
      </c>
      <c r="D113" t="n">
        <v>111</v>
      </c>
      <c r="E113" s="11" t="inlineStr">
        <is>
          <t>015-25-000588</t>
        </is>
      </c>
      <c r="F113" t="n">
        <v>60476</v>
      </c>
      <c r="G113" s="12" t="n">
        <v>46022</v>
      </c>
      <c r="H113" s="13" t="n">
        <v>8333</v>
      </c>
      <c r="I113" s="14" t="inlineStr">
        <is>
          <t>015</t>
        </is>
      </c>
      <c r="J113" s="14" t="inlineStr">
        <is>
          <t>עבודות שיפוצים</t>
        </is>
      </c>
      <c r="L113" s="14" t="inlineStr">
        <is>
          <t>000</t>
        </is>
      </c>
      <c r="M113" s="15" t="inlineStr">
        <is>
          <t>עבור עבודות שיפוצים</t>
        </is>
      </c>
      <c r="N113" s="14" t="inlineStr">
        <is>
          <t>2112-015</t>
        </is>
      </c>
      <c r="O113" s="16" t="n">
        <v>19770</v>
      </c>
      <c r="P113" s="16" t="n">
        <v>23328.6</v>
      </c>
      <c r="Q113" s="21">
        <f>Table1[[#This Row],[סכום כולל מע"מ]]-Table1[[#This Row],[סכום לפני מעמ2]]</f>
        <v/>
      </c>
    </row>
    <row r="114">
      <c r="B114" t="n">
        <v>112</v>
      </c>
      <c r="C114" t="inlineStr">
        <is>
          <t>חשבוניות מטר</t>
        </is>
      </c>
      <c r="D114" t="n">
        <v>112</v>
      </c>
      <c r="E114" s="11" t="inlineStr">
        <is>
          <t>015-25-000589</t>
        </is>
      </c>
      <c r="F114" t="n">
        <v>60476</v>
      </c>
      <c r="G114" s="12" t="n">
        <v>46022</v>
      </c>
      <c r="H114" s="13" t="n">
        <v>8332</v>
      </c>
      <c r="I114" s="14" t="inlineStr">
        <is>
          <t>015</t>
        </is>
      </c>
      <c r="J114" s="14" t="inlineStr">
        <is>
          <t>עבודות עפר</t>
        </is>
      </c>
      <c r="L114" s="14" t="inlineStr">
        <is>
          <t>000</t>
        </is>
      </c>
      <c r="M114" s="15" t="inlineStr">
        <is>
          <t>עבור עבודות עפר</t>
        </is>
      </c>
      <c r="N114" s="14" t="inlineStr">
        <is>
          <t>2112-015</t>
        </is>
      </c>
      <c r="O114" s="16" t="n">
        <v>19900</v>
      </c>
      <c r="P114" s="16" t="n">
        <v>23482</v>
      </c>
      <c r="Q114" s="21">
        <f>Table1[[#This Row],[סכום כולל מע"מ]]-Table1[[#This Row],[סכום לפני מעמ2]]</f>
        <v/>
      </c>
    </row>
    <row r="115">
      <c r="B115" t="n">
        <v>113</v>
      </c>
      <c r="C115" t="inlineStr">
        <is>
          <t>חשבוניות מטר</t>
        </is>
      </c>
      <c r="D115" t="n">
        <v>113</v>
      </c>
      <c r="E115" s="11" t="inlineStr">
        <is>
          <t>015-25-000590</t>
        </is>
      </c>
      <c r="F115" t="n">
        <v>60476</v>
      </c>
      <c r="G115" s="12" t="n">
        <v>46022</v>
      </c>
      <c r="H115" s="13" t="n">
        <v>8331</v>
      </c>
      <c r="I115" s="14" t="inlineStr">
        <is>
          <t>015</t>
        </is>
      </c>
      <c r="J115" s="14" t="inlineStr">
        <is>
          <t>עבודות שיפוצים</t>
        </is>
      </c>
      <c r="L115" s="14" t="inlineStr">
        <is>
          <t>000</t>
        </is>
      </c>
      <c r="M115" s="15" t="inlineStr">
        <is>
          <t>עבור עבודות שיפוצים</t>
        </is>
      </c>
      <c r="N115" s="14" t="inlineStr">
        <is>
          <t>2112-015</t>
        </is>
      </c>
      <c r="O115" s="16" t="n">
        <v>19100</v>
      </c>
      <c r="P115" s="16" t="n">
        <v>22538</v>
      </c>
      <c r="Q115" s="21">
        <f>Table1[[#This Row],[סכום כולל מע"מ]]-Table1[[#This Row],[סכום לפני מעמ2]]</f>
        <v/>
      </c>
    </row>
    <row r="116">
      <c r="B116" t="n">
        <v>114</v>
      </c>
      <c r="C116" t="inlineStr">
        <is>
          <t>חשבוניות מטר</t>
        </is>
      </c>
      <c r="D116" t="n">
        <v>114</v>
      </c>
      <c r="E116" s="11" t="inlineStr">
        <is>
          <t>015-25-000591</t>
        </is>
      </c>
      <c r="F116" t="n">
        <v>60476</v>
      </c>
      <c r="G116" s="12" t="n">
        <v>46022</v>
      </c>
      <c r="H116" s="13" t="n">
        <v>8330</v>
      </c>
      <c r="I116" s="14" t="inlineStr">
        <is>
          <t>015</t>
        </is>
      </c>
      <c r="J116" s="14" t="inlineStr">
        <is>
          <t>עבודות שיפוצים</t>
        </is>
      </c>
      <c r="L116" s="14" t="inlineStr">
        <is>
          <t>000</t>
        </is>
      </c>
      <c r="M116" s="15" t="inlineStr">
        <is>
          <t>עבור עבודות שיפוצים</t>
        </is>
      </c>
      <c r="N116" s="14" t="inlineStr">
        <is>
          <t>2112-015</t>
        </is>
      </c>
      <c r="O116" s="16" t="n">
        <v>19999</v>
      </c>
      <c r="P116" s="16" t="n">
        <v>23598.82</v>
      </c>
      <c r="Q116" s="21">
        <f>Table1[[#This Row],[סכום כולל מע"מ]]-Table1[[#This Row],[סכום לפני מעמ2]]</f>
        <v/>
      </c>
    </row>
    <row r="117">
      <c r="B117" t="n">
        <v>115</v>
      </c>
      <c r="C117" t="inlineStr">
        <is>
          <t>חשבוניות מטר</t>
        </is>
      </c>
      <c r="D117" t="n">
        <v>115</v>
      </c>
      <c r="E117" s="11" t="inlineStr">
        <is>
          <t>015-25-000592</t>
        </is>
      </c>
      <c r="F117" t="n">
        <v>60476</v>
      </c>
      <c r="G117" s="12" t="n">
        <v>46022</v>
      </c>
      <c r="H117" s="13" t="n">
        <v>8329</v>
      </c>
      <c r="I117" s="14" t="inlineStr">
        <is>
          <t>015</t>
        </is>
      </c>
      <c r="J117" s="14" t="inlineStr">
        <is>
          <t>עבודות עפר</t>
        </is>
      </c>
      <c r="L117" s="14" t="inlineStr">
        <is>
          <t>000</t>
        </is>
      </c>
      <c r="M117" s="15" t="inlineStr">
        <is>
          <t>עבור עבודות עפר</t>
        </is>
      </c>
      <c r="N117" s="14" t="inlineStr">
        <is>
          <t>2112-015</t>
        </is>
      </c>
      <c r="O117" s="16" t="n">
        <v>19700</v>
      </c>
      <c r="P117" s="16" t="n">
        <v>23246</v>
      </c>
      <c r="Q117" s="21">
        <f>Table1[[#This Row],[סכום כולל מע"מ]]-Table1[[#This Row],[סכום לפני מעמ2]]</f>
        <v/>
      </c>
    </row>
    <row r="118">
      <c r="B118" t="n">
        <v>116</v>
      </c>
      <c r="C118" t="inlineStr">
        <is>
          <t>חשבוניות מטר</t>
        </is>
      </c>
      <c r="D118" t="n">
        <v>116</v>
      </c>
      <c r="E118" s="11" t="inlineStr">
        <is>
          <t>015-25-000593</t>
        </is>
      </c>
      <c r="F118" t="n">
        <v>60476</v>
      </c>
      <c r="G118" s="12" t="n">
        <v>46022</v>
      </c>
      <c r="H118" s="13" t="n">
        <v>8328</v>
      </c>
      <c r="I118" s="14" t="inlineStr">
        <is>
          <t>015</t>
        </is>
      </c>
      <c r="J118" s="14" t="inlineStr">
        <is>
          <t>עבודות שיפוצים</t>
        </is>
      </c>
      <c r="L118" s="14" t="inlineStr">
        <is>
          <t>000</t>
        </is>
      </c>
      <c r="M118" s="15" t="inlineStr">
        <is>
          <t>עבור עבודות שיפוצים</t>
        </is>
      </c>
      <c r="N118" s="14" t="inlineStr">
        <is>
          <t>2112-015</t>
        </is>
      </c>
      <c r="O118" s="16" t="n">
        <v>19800</v>
      </c>
      <c r="P118" s="16" t="n">
        <v>23364</v>
      </c>
      <c r="Q118" s="21">
        <f>Table1[[#This Row],[סכום כולל מע"מ]]-Table1[[#This Row],[סכום לפני מעמ2]]</f>
        <v/>
      </c>
    </row>
    <row r="119">
      <c r="B119" t="n">
        <v>117</v>
      </c>
      <c r="C119" t="inlineStr">
        <is>
          <t>חשבוניות מטר</t>
        </is>
      </c>
      <c r="D119" t="n">
        <v>117</v>
      </c>
      <c r="E119" s="11" t="inlineStr">
        <is>
          <t>015-25-000594</t>
        </is>
      </c>
      <c r="F119" t="n">
        <v>60476</v>
      </c>
      <c r="G119" s="12" t="n">
        <v>46022</v>
      </c>
      <c r="H119" s="13" t="n">
        <v>8327</v>
      </c>
      <c r="I119" s="14" t="inlineStr">
        <is>
          <t>015</t>
        </is>
      </c>
      <c r="J119" s="14" t="inlineStr">
        <is>
          <t>עבודות שלד</t>
        </is>
      </c>
      <c r="L119" s="14" t="inlineStr">
        <is>
          <t>000</t>
        </is>
      </c>
      <c r="M119" s="15" t="inlineStr">
        <is>
          <t>עבור עבודות שלד</t>
        </is>
      </c>
      <c r="N119" s="14" t="inlineStr">
        <is>
          <t>2112-015</t>
        </is>
      </c>
      <c r="O119" s="16" t="n">
        <v>19660</v>
      </c>
      <c r="P119" s="16" t="n">
        <v>23198.8</v>
      </c>
      <c r="Q119" s="21">
        <f>Table1[[#This Row],[סכום כולל מע"מ]]-Table1[[#This Row],[סכום לפני מעמ2]]</f>
        <v/>
      </c>
    </row>
    <row r="120">
      <c r="B120" t="n">
        <v>118</v>
      </c>
      <c r="C120" t="inlineStr">
        <is>
          <t>חשבוניות מטר</t>
        </is>
      </c>
      <c r="D120" t="n">
        <v>118</v>
      </c>
      <c r="E120" s="11" t="inlineStr">
        <is>
          <t>015-25-000595</t>
        </is>
      </c>
      <c r="F120" t="n">
        <v>60476</v>
      </c>
      <c r="G120" s="12" t="n">
        <v>46022</v>
      </c>
      <c r="H120" s="13" t="n">
        <v>8326</v>
      </c>
      <c r="I120" s="14" t="inlineStr">
        <is>
          <t>015</t>
        </is>
      </c>
      <c r="J120" s="14" t="inlineStr">
        <is>
          <t>עבודות עפר</t>
        </is>
      </c>
      <c r="L120" s="14" t="inlineStr">
        <is>
          <t>000</t>
        </is>
      </c>
      <c r="M120" s="15" t="inlineStr">
        <is>
          <t>עבור עבודות עפר</t>
        </is>
      </c>
      <c r="N120" s="14" t="inlineStr">
        <is>
          <t>2112-015</t>
        </is>
      </c>
      <c r="O120" s="16" t="n">
        <v>19800</v>
      </c>
      <c r="P120" s="16" t="n">
        <v>23364</v>
      </c>
      <c r="Q120" s="21">
        <f>Table1[[#This Row],[סכום כולל מע"מ]]-Table1[[#This Row],[סכום לפני מעמ2]]</f>
        <v/>
      </c>
    </row>
    <row r="121">
      <c r="B121" t="n">
        <v>119</v>
      </c>
      <c r="C121" t="inlineStr">
        <is>
          <t>חשבוניות מטר</t>
        </is>
      </c>
      <c r="D121" t="n">
        <v>119</v>
      </c>
      <c r="E121" s="11" t="inlineStr">
        <is>
          <t>015-25-000596</t>
        </is>
      </c>
      <c r="F121" t="n">
        <v>60476</v>
      </c>
      <c r="G121" s="12" t="n">
        <v>46022</v>
      </c>
      <c r="H121" s="13" t="n">
        <v>8325</v>
      </c>
      <c r="I121" s="14" t="inlineStr">
        <is>
          <t>015</t>
        </is>
      </c>
      <c r="J121" s="14" t="inlineStr">
        <is>
          <t>עבודות עפר</t>
        </is>
      </c>
      <c r="L121" s="14" t="inlineStr">
        <is>
          <t>000</t>
        </is>
      </c>
      <c r="M121" s="15" t="inlineStr">
        <is>
          <t>עבור עבודות עפר</t>
        </is>
      </c>
      <c r="N121" s="14" t="inlineStr">
        <is>
          <t>2112-015</t>
        </is>
      </c>
      <c r="O121" s="16" t="n">
        <v>19300</v>
      </c>
      <c r="P121" s="16" t="n">
        <v>22774</v>
      </c>
      <c r="Q121" s="21">
        <f>Table1[[#This Row],[סכום כולל מע"מ]]-Table1[[#This Row],[סכום לפני מעמ2]]</f>
        <v/>
      </c>
    </row>
    <row r="122">
      <c r="B122" t="n">
        <v>120</v>
      </c>
      <c r="C122" t="inlineStr">
        <is>
          <t>חשבוניות מטר</t>
        </is>
      </c>
      <c r="D122" t="n">
        <v>120</v>
      </c>
      <c r="E122" s="11" t="inlineStr">
        <is>
          <t>015-25-000597</t>
        </is>
      </c>
      <c r="F122" t="n">
        <v>60476</v>
      </c>
      <c r="G122" s="12" t="n">
        <v>46022</v>
      </c>
      <c r="H122" s="13" t="n">
        <v>8324</v>
      </c>
      <c r="I122" s="14" t="inlineStr">
        <is>
          <t>015</t>
        </is>
      </c>
      <c r="J122" s="14" t="inlineStr">
        <is>
          <t>עבודות שלד</t>
        </is>
      </c>
      <c r="L122" s="14" t="inlineStr">
        <is>
          <t>000</t>
        </is>
      </c>
      <c r="M122" s="15" t="inlineStr">
        <is>
          <t>עבור עבודות שלד</t>
        </is>
      </c>
      <c r="N122" s="14" t="inlineStr">
        <is>
          <t>2112-015</t>
        </is>
      </c>
      <c r="O122" s="16" t="n">
        <v>19800</v>
      </c>
      <c r="P122" s="16" t="n">
        <v>23364</v>
      </c>
      <c r="Q122" s="21">
        <f>Table1[[#This Row],[סכום כולל מע"מ]]-Table1[[#This Row],[סכום לפני מעמ2]]</f>
        <v/>
      </c>
    </row>
    <row r="123">
      <c r="B123" t="n">
        <v>121</v>
      </c>
      <c r="C123" t="inlineStr">
        <is>
          <t>חשבוניות מטר</t>
        </is>
      </c>
      <c r="D123" t="n">
        <v>121</v>
      </c>
      <c r="E123" s="11" t="inlineStr">
        <is>
          <t>015-25-000598</t>
        </is>
      </c>
      <c r="F123" t="n">
        <v>60476</v>
      </c>
      <c r="G123" s="12" t="n">
        <v>46022</v>
      </c>
      <c r="H123" s="13" t="n">
        <v>8323</v>
      </c>
      <c r="I123" s="14" t="inlineStr">
        <is>
          <t>015</t>
        </is>
      </c>
      <c r="J123" s="14" t="inlineStr">
        <is>
          <t>עבודות שלד</t>
        </is>
      </c>
      <c r="L123" s="14" t="inlineStr">
        <is>
          <t>000</t>
        </is>
      </c>
      <c r="M123" s="15" t="inlineStr">
        <is>
          <t>עבור עבודות שלד</t>
        </is>
      </c>
      <c r="N123" s="14" t="inlineStr">
        <is>
          <t>2112-015</t>
        </is>
      </c>
      <c r="O123" s="16" t="n">
        <v>19770</v>
      </c>
      <c r="P123" s="16" t="n">
        <v>23328.6</v>
      </c>
      <c r="Q123" s="21">
        <f>Table1[[#This Row],[סכום כולל מע"מ]]-Table1[[#This Row],[סכום לפני מעמ2]]</f>
        <v/>
      </c>
    </row>
    <row r="124">
      <c r="B124" t="n">
        <v>122</v>
      </c>
      <c r="C124" t="inlineStr">
        <is>
          <t>חשבוניות מטר</t>
        </is>
      </c>
      <c r="D124" t="n">
        <v>122</v>
      </c>
      <c r="E124" s="11" t="inlineStr">
        <is>
          <t>015-25-000599</t>
        </is>
      </c>
      <c r="F124" t="n">
        <v>60476</v>
      </c>
      <c r="G124" s="12" t="n">
        <v>46022</v>
      </c>
      <c r="H124" s="13" t="n">
        <v>8322</v>
      </c>
      <c r="I124" s="14" t="inlineStr">
        <is>
          <t>015</t>
        </is>
      </c>
      <c r="J124" s="14" t="inlineStr">
        <is>
          <t>עבודות בניה</t>
        </is>
      </c>
      <c r="L124" s="14" t="inlineStr">
        <is>
          <t>000</t>
        </is>
      </c>
      <c r="M124" s="15" t="inlineStr">
        <is>
          <t>עבור עבודות בניה</t>
        </is>
      </c>
      <c r="N124" s="14" t="inlineStr">
        <is>
          <t>2112-015</t>
        </is>
      </c>
      <c r="O124" s="16" t="n">
        <v>19800</v>
      </c>
      <c r="P124" s="16" t="n">
        <v>23364</v>
      </c>
      <c r="Q124" s="21">
        <f>Table1[[#This Row],[סכום כולל מע"מ]]-Table1[[#This Row],[סכום לפני מעמ2]]</f>
        <v/>
      </c>
    </row>
    <row r="125">
      <c r="B125" t="n">
        <v>123</v>
      </c>
      <c r="C125" t="inlineStr">
        <is>
          <t>חשבוניות מטר</t>
        </is>
      </c>
      <c r="D125" t="n">
        <v>123</v>
      </c>
      <c r="E125" s="11" t="inlineStr">
        <is>
          <t>015-25-000600</t>
        </is>
      </c>
      <c r="F125" t="n">
        <v>60476</v>
      </c>
      <c r="G125" s="12" t="n">
        <v>46022</v>
      </c>
      <c r="H125" s="13" t="n">
        <v>8321</v>
      </c>
      <c r="I125" s="14" t="inlineStr">
        <is>
          <t>015</t>
        </is>
      </c>
      <c r="J125" s="14" t="inlineStr">
        <is>
          <t>עבודות שלד</t>
        </is>
      </c>
      <c r="L125" s="14" t="inlineStr">
        <is>
          <t>000</t>
        </is>
      </c>
      <c r="M125" s="15" t="inlineStr">
        <is>
          <t>עבור עבודות שלד</t>
        </is>
      </c>
      <c r="N125" s="14" t="inlineStr">
        <is>
          <t>2112-015</t>
        </is>
      </c>
      <c r="O125" s="16" t="n">
        <v>19200</v>
      </c>
      <c r="P125" s="16" t="n">
        <v>22656</v>
      </c>
      <c r="Q125" s="21">
        <f>Table1[[#This Row],[סכום כולל מע"מ]]-Table1[[#This Row],[סכום לפני מעמ2]]</f>
        <v/>
      </c>
    </row>
    <row r="126">
      <c r="B126" t="n">
        <v>124</v>
      </c>
      <c r="C126" t="inlineStr">
        <is>
          <t>חשבוניות מטר</t>
        </is>
      </c>
      <c r="D126" t="n">
        <v>124</v>
      </c>
      <c r="E126" s="11" t="inlineStr">
        <is>
          <t>015-25-000601</t>
        </is>
      </c>
      <c r="F126" t="n">
        <v>60476</v>
      </c>
      <c r="G126" s="12" t="n">
        <v>46022</v>
      </c>
      <c r="H126" s="13" t="n">
        <v>8320</v>
      </c>
      <c r="I126" s="14" t="inlineStr">
        <is>
          <t>015</t>
        </is>
      </c>
      <c r="J126" s="14" t="inlineStr">
        <is>
          <t>עבודות שלד</t>
        </is>
      </c>
      <c r="L126" s="14" t="inlineStr">
        <is>
          <t>000</t>
        </is>
      </c>
      <c r="M126" s="15" t="inlineStr">
        <is>
          <t>עבור עבודות שלד</t>
        </is>
      </c>
      <c r="N126" s="14" t="inlineStr">
        <is>
          <t>2112-015</t>
        </is>
      </c>
      <c r="O126" s="16" t="n">
        <v>19500</v>
      </c>
      <c r="P126" s="16" t="n">
        <v>23010</v>
      </c>
      <c r="Q126" s="21">
        <f>Table1[[#This Row],[סכום כולל מע"מ]]-Table1[[#This Row],[סכום לפני מעמ2]]</f>
        <v/>
      </c>
    </row>
    <row r="127">
      <c r="B127" t="n">
        <v>125</v>
      </c>
      <c r="C127" t="inlineStr">
        <is>
          <t>חשבוניות מטר</t>
        </is>
      </c>
      <c r="D127" t="n">
        <v>125</v>
      </c>
      <c r="E127" s="11" t="inlineStr">
        <is>
          <t>015-25-000602</t>
        </is>
      </c>
      <c r="F127" t="n">
        <v>60476</v>
      </c>
      <c r="G127" s="12" t="n">
        <v>46022</v>
      </c>
      <c r="H127" s="13" t="n">
        <v>8319</v>
      </c>
      <c r="I127" s="14" t="inlineStr">
        <is>
          <t>015</t>
        </is>
      </c>
      <c r="J127" s="14" t="inlineStr">
        <is>
          <t>עבודות בניה</t>
        </is>
      </c>
      <c r="L127" s="14" t="inlineStr">
        <is>
          <t>000</t>
        </is>
      </c>
      <c r="M127" s="15" t="inlineStr">
        <is>
          <t>עבור עבודות בניה</t>
        </is>
      </c>
      <c r="N127" s="14" t="inlineStr">
        <is>
          <t>2112-015</t>
        </is>
      </c>
      <c r="O127" s="16" t="n">
        <v>19700</v>
      </c>
      <c r="P127" s="16" t="n">
        <v>23246</v>
      </c>
      <c r="Q127" s="21">
        <f>Table1[[#This Row],[סכום כולל מע"מ]]-Table1[[#This Row],[סכום לפני מעמ2]]</f>
        <v/>
      </c>
    </row>
    <row r="128">
      <c r="B128" t="n">
        <v>126</v>
      </c>
      <c r="C128" t="inlineStr">
        <is>
          <t>חשבוניות מטר</t>
        </is>
      </c>
      <c r="D128" t="n">
        <v>126</v>
      </c>
      <c r="E128" s="11" t="inlineStr">
        <is>
          <t>015-25-000603</t>
        </is>
      </c>
      <c r="F128" t="n">
        <v>60476</v>
      </c>
      <c r="G128" s="12" t="n">
        <v>46022</v>
      </c>
      <c r="H128" s="13" t="n">
        <v>8318</v>
      </c>
      <c r="I128" s="14" t="inlineStr">
        <is>
          <t>015</t>
        </is>
      </c>
      <c r="J128" s="14" t="inlineStr">
        <is>
          <t>עבודות בניה</t>
        </is>
      </c>
      <c r="L128" s="14" t="inlineStr">
        <is>
          <t>000</t>
        </is>
      </c>
      <c r="M128" s="15" t="inlineStr">
        <is>
          <t>עבור עבודות בניה</t>
        </is>
      </c>
      <c r="N128" s="14" t="inlineStr">
        <is>
          <t>2112-015</t>
        </is>
      </c>
      <c r="O128" s="16" t="n">
        <v>19800</v>
      </c>
      <c r="P128" s="16" t="n">
        <v>23364</v>
      </c>
      <c r="Q128" s="21">
        <f>Table1[[#This Row],[סכום כולל מע"מ]]-Table1[[#This Row],[סכום לפני מעמ2]]</f>
        <v/>
      </c>
    </row>
    <row r="129">
      <c r="B129" t="n">
        <v>127</v>
      </c>
      <c r="C129" t="inlineStr">
        <is>
          <t>חשבוניות מטר</t>
        </is>
      </c>
      <c r="D129" t="n">
        <v>127</v>
      </c>
      <c r="E129" s="11" t="inlineStr">
        <is>
          <t>015-25-000604</t>
        </is>
      </c>
      <c r="F129" t="n">
        <v>60476</v>
      </c>
      <c r="G129" s="12" t="n">
        <v>46022</v>
      </c>
      <c r="H129" s="13" t="n">
        <v>8317</v>
      </c>
      <c r="I129" s="14" t="inlineStr">
        <is>
          <t>015</t>
        </is>
      </c>
      <c r="J129" s="14" t="inlineStr">
        <is>
          <t>עבודות עפר</t>
        </is>
      </c>
      <c r="L129" s="14" t="inlineStr">
        <is>
          <t>000</t>
        </is>
      </c>
      <c r="M129" s="15" t="inlineStr">
        <is>
          <t>עבור עבודות עפר</t>
        </is>
      </c>
      <c r="N129" s="14" t="inlineStr">
        <is>
          <t>2112-015</t>
        </is>
      </c>
      <c r="O129" s="16" t="n">
        <v>19100</v>
      </c>
      <c r="P129" s="16" t="n">
        <v>22538</v>
      </c>
      <c r="Q129" s="21">
        <f>Table1[[#This Row],[סכום כולל מע"מ]]-Table1[[#This Row],[סכום לפני מעמ2]]</f>
        <v/>
      </c>
    </row>
    <row r="130">
      <c r="B130" t="n">
        <v>128</v>
      </c>
      <c r="C130" t="inlineStr">
        <is>
          <t>חשבוניות מטר</t>
        </is>
      </c>
      <c r="D130" t="n">
        <v>128</v>
      </c>
      <c r="E130" s="11" t="inlineStr">
        <is>
          <t>015-25-000605</t>
        </is>
      </c>
      <c r="F130" t="n">
        <v>60476</v>
      </c>
      <c r="G130" s="12" t="n">
        <v>46022</v>
      </c>
      <c r="H130" s="13" t="n">
        <v>8316</v>
      </c>
      <c r="I130" s="14" t="inlineStr">
        <is>
          <t>015</t>
        </is>
      </c>
      <c r="J130" s="14" t="inlineStr">
        <is>
          <t>עבודות עפר</t>
        </is>
      </c>
      <c r="L130" s="14" t="inlineStr">
        <is>
          <t>000</t>
        </is>
      </c>
      <c r="M130" s="15" t="inlineStr">
        <is>
          <t>עבור עבודות עפר</t>
        </is>
      </c>
      <c r="N130" s="14" t="inlineStr">
        <is>
          <t>2112-015</t>
        </is>
      </c>
      <c r="O130" s="16" t="n">
        <v>19800</v>
      </c>
      <c r="P130" s="16" t="n">
        <v>23364</v>
      </c>
      <c r="Q130" s="21">
        <f>Table1[[#This Row],[סכום כולל מע"מ]]-Table1[[#This Row],[סכום לפני מעמ2]]</f>
        <v/>
      </c>
    </row>
    <row r="131">
      <c r="B131" t="n">
        <v>129</v>
      </c>
      <c r="C131" t="inlineStr">
        <is>
          <t>חשבוניות מטר</t>
        </is>
      </c>
      <c r="D131" t="n">
        <v>129</v>
      </c>
      <c r="E131" s="11" t="inlineStr">
        <is>
          <t>015-25-000606</t>
        </is>
      </c>
      <c r="F131" t="n">
        <v>60476</v>
      </c>
      <c r="G131" s="12" t="n">
        <v>46022</v>
      </c>
      <c r="H131" s="13" t="n">
        <v>8315</v>
      </c>
      <c r="I131" s="14" t="inlineStr">
        <is>
          <t>015</t>
        </is>
      </c>
      <c r="J131" s="14" t="inlineStr">
        <is>
          <t>עבודות עפר</t>
        </is>
      </c>
      <c r="L131" s="14" t="inlineStr">
        <is>
          <t>000</t>
        </is>
      </c>
      <c r="M131" s="15" t="inlineStr">
        <is>
          <t>עבור עבודות עפר</t>
        </is>
      </c>
      <c r="N131" s="14" t="inlineStr">
        <is>
          <t>2112-015</t>
        </is>
      </c>
      <c r="O131" s="16" t="n">
        <v>19100</v>
      </c>
      <c r="P131" s="16" t="n">
        <v>22538</v>
      </c>
      <c r="Q131" s="21">
        <f>Table1[[#This Row],[סכום כולל מע"מ]]-Table1[[#This Row],[סכום לפני מעמ2]]</f>
        <v/>
      </c>
    </row>
    <row r="132">
      <c r="B132" t="n">
        <v>130</v>
      </c>
      <c r="C132" t="inlineStr">
        <is>
          <t>חשבוניות מטר</t>
        </is>
      </c>
      <c r="D132" t="n">
        <v>130</v>
      </c>
      <c r="E132" s="11" t="inlineStr">
        <is>
          <t>015-25-000607</t>
        </is>
      </c>
      <c r="F132" t="n">
        <v>60476</v>
      </c>
      <c r="G132" s="12" t="n">
        <v>46022</v>
      </c>
      <c r="H132" s="13" t="n">
        <v>8314</v>
      </c>
      <c r="I132" s="14" t="inlineStr">
        <is>
          <t>015</t>
        </is>
      </c>
      <c r="J132" s="14" t="inlineStr">
        <is>
          <t>עבודות שלד</t>
        </is>
      </c>
      <c r="L132" s="14" t="inlineStr">
        <is>
          <t>000</t>
        </is>
      </c>
      <c r="M132" s="15" t="inlineStr">
        <is>
          <t>עבור עבודות שלד</t>
        </is>
      </c>
      <c r="N132" s="14" t="inlineStr">
        <is>
          <t>2112-015</t>
        </is>
      </c>
      <c r="O132" s="16" t="n">
        <v>19200</v>
      </c>
      <c r="P132" s="16" t="n">
        <v>22656</v>
      </c>
      <c r="Q132" s="21">
        <f>Table1[[#This Row],[סכום כולל מע"מ]]-Table1[[#This Row],[סכום לפני מעמ2]]</f>
        <v/>
      </c>
    </row>
    <row r="133">
      <c r="B133" t="n">
        <v>131</v>
      </c>
      <c r="C133" t="inlineStr">
        <is>
          <t>חשבוניות מטר</t>
        </is>
      </c>
      <c r="D133" t="n">
        <v>131</v>
      </c>
      <c r="E133" s="11" t="inlineStr">
        <is>
          <t>015-25-000608</t>
        </is>
      </c>
      <c r="F133" t="n">
        <v>60476</v>
      </c>
      <c r="G133" s="12" t="n">
        <v>46022</v>
      </c>
      <c r="H133" s="13" t="n">
        <v>8313</v>
      </c>
      <c r="I133" s="14" t="inlineStr">
        <is>
          <t>015</t>
        </is>
      </c>
      <c r="J133" s="14" t="inlineStr">
        <is>
          <t>עבודות שלד</t>
        </is>
      </c>
      <c r="L133" s="14" t="inlineStr">
        <is>
          <t>000</t>
        </is>
      </c>
      <c r="M133" s="15" t="inlineStr">
        <is>
          <t>עבור עבודות שלד</t>
        </is>
      </c>
      <c r="N133" s="14" t="inlineStr">
        <is>
          <t>2112-015</t>
        </is>
      </c>
      <c r="O133" s="16" t="n">
        <v>19400</v>
      </c>
      <c r="P133" s="16" t="n">
        <v>22892</v>
      </c>
      <c r="Q133" s="21">
        <f>Table1[[#This Row],[סכום כולל מע"מ]]-Table1[[#This Row],[סכום לפני מעמ2]]</f>
        <v/>
      </c>
    </row>
    <row r="134">
      <c r="B134" t="n">
        <v>132</v>
      </c>
      <c r="C134" t="inlineStr">
        <is>
          <t>חשבוניות מטר</t>
        </is>
      </c>
      <c r="D134" t="n">
        <v>132</v>
      </c>
      <c r="E134" s="11" t="inlineStr">
        <is>
          <t>015-25-000609</t>
        </is>
      </c>
      <c r="F134" t="n">
        <v>60476</v>
      </c>
      <c r="G134" s="12" t="n">
        <v>46022</v>
      </c>
      <c r="H134" s="13" t="n">
        <v>8312</v>
      </c>
      <c r="I134" s="14" t="inlineStr">
        <is>
          <t>015</t>
        </is>
      </c>
      <c r="J134" s="14" t="inlineStr">
        <is>
          <t>עבודות שלד</t>
        </is>
      </c>
      <c r="L134" s="14" t="inlineStr">
        <is>
          <t>000</t>
        </is>
      </c>
      <c r="M134" s="15" t="inlineStr">
        <is>
          <t>עבור עבודות שלד</t>
        </is>
      </c>
      <c r="N134" s="14" t="inlineStr">
        <is>
          <t>2112-015</t>
        </is>
      </c>
      <c r="O134" s="16" t="n">
        <v>19770</v>
      </c>
      <c r="P134" s="16" t="n">
        <v>23328.6</v>
      </c>
      <c r="Q134" s="21">
        <f>Table1[[#This Row],[סכום כולל מע"מ]]-Table1[[#This Row],[סכום לפני מעמ2]]</f>
        <v/>
      </c>
    </row>
    <row r="135">
      <c r="B135" t="n">
        <v>133</v>
      </c>
      <c r="C135" t="inlineStr">
        <is>
          <t>חשבוניות מטר</t>
        </is>
      </c>
      <c r="D135" t="n">
        <v>133</v>
      </c>
      <c r="E135" s="11" t="inlineStr">
        <is>
          <t>015-25-000610</t>
        </is>
      </c>
      <c r="F135" t="n">
        <v>60476</v>
      </c>
      <c r="G135" s="12" t="n">
        <v>46022</v>
      </c>
      <c r="H135" s="13" t="n">
        <v>8311</v>
      </c>
      <c r="I135" s="14" t="inlineStr">
        <is>
          <t>015</t>
        </is>
      </c>
      <c r="J135" s="14" t="inlineStr">
        <is>
          <t>עבודות שלד</t>
        </is>
      </c>
      <c r="L135" s="14" t="inlineStr">
        <is>
          <t>000</t>
        </is>
      </c>
      <c r="M135" s="15" t="inlineStr">
        <is>
          <t>עבור עבודות שלד</t>
        </is>
      </c>
      <c r="N135" s="14" t="inlineStr">
        <is>
          <t>2112-015</t>
        </is>
      </c>
      <c r="O135" s="16" t="n">
        <v>19500</v>
      </c>
      <c r="P135" s="16" t="n">
        <v>23010</v>
      </c>
      <c r="Q135" s="21">
        <f>Table1[[#This Row],[סכום כולל מע"מ]]-Table1[[#This Row],[סכום לפני מעמ2]]</f>
        <v/>
      </c>
    </row>
    <row r="136">
      <c r="B136" t="n">
        <v>134</v>
      </c>
      <c r="C136" t="inlineStr">
        <is>
          <t>חשבוניות מטר</t>
        </is>
      </c>
      <c r="D136" t="n">
        <v>134</v>
      </c>
      <c r="E136" s="11" t="inlineStr">
        <is>
          <t>015-25-000611</t>
        </is>
      </c>
      <c r="F136" t="n">
        <v>60476</v>
      </c>
      <c r="G136" s="12" t="n">
        <v>46022</v>
      </c>
      <c r="H136" s="13" t="n">
        <v>8310</v>
      </c>
      <c r="I136" s="14" t="inlineStr">
        <is>
          <t>015</t>
        </is>
      </c>
      <c r="J136" s="14" t="inlineStr">
        <is>
          <t>עבודות שלד</t>
        </is>
      </c>
      <c r="L136" s="14" t="inlineStr">
        <is>
          <t>000</t>
        </is>
      </c>
      <c r="M136" s="15" t="inlineStr">
        <is>
          <t>עבור עבודות שלד</t>
        </is>
      </c>
      <c r="N136" s="14" t="inlineStr">
        <is>
          <t>2112-015</t>
        </is>
      </c>
      <c r="O136" s="16" t="n">
        <v>19200</v>
      </c>
      <c r="P136" s="16" t="n">
        <v>22656</v>
      </c>
      <c r="Q136" s="21">
        <f>Table1[[#This Row],[סכום כולל מע"מ]]-Table1[[#This Row],[סכום לפני מעמ2]]</f>
        <v/>
      </c>
    </row>
    <row r="137">
      <c r="B137" t="n">
        <v>135</v>
      </c>
      <c r="C137" t="inlineStr">
        <is>
          <t>חשבוניות מטר</t>
        </is>
      </c>
      <c r="D137" t="n">
        <v>135</v>
      </c>
      <c r="E137" s="11" t="inlineStr">
        <is>
          <t>015-25-000612</t>
        </is>
      </c>
      <c r="F137" t="n">
        <v>60476</v>
      </c>
      <c r="G137" s="12" t="n">
        <v>46022</v>
      </c>
      <c r="H137" s="13" t="n">
        <v>8309</v>
      </c>
      <c r="I137" s="14" t="inlineStr">
        <is>
          <t>015</t>
        </is>
      </c>
      <c r="J137" s="14" t="inlineStr">
        <is>
          <t>עבודות שלד</t>
        </is>
      </c>
      <c r="L137" s="14" t="inlineStr">
        <is>
          <t>000</t>
        </is>
      </c>
      <c r="M137" s="15" t="inlineStr">
        <is>
          <t>עבור עבודות שלד</t>
        </is>
      </c>
      <c r="N137" s="14" t="inlineStr">
        <is>
          <t>2112-015</t>
        </is>
      </c>
      <c r="O137" s="16" t="n">
        <v>19660</v>
      </c>
      <c r="P137" s="16" t="n">
        <v>23198.8</v>
      </c>
      <c r="Q137" s="21">
        <f>Table1[[#This Row],[סכום כולל מע"מ]]-Table1[[#This Row],[סכום לפני מעמ2]]</f>
        <v/>
      </c>
    </row>
    <row r="138">
      <c r="B138" t="n">
        <v>136</v>
      </c>
      <c r="C138" t="inlineStr">
        <is>
          <t>חשבוניות מטר</t>
        </is>
      </c>
      <c r="D138" t="n">
        <v>136</v>
      </c>
      <c r="E138" s="11" t="inlineStr">
        <is>
          <t>015-25-000613</t>
        </is>
      </c>
      <c r="F138" t="n">
        <v>60476</v>
      </c>
      <c r="G138" s="12" t="n">
        <v>46022</v>
      </c>
      <c r="H138" s="13" t="n">
        <v>8308</v>
      </c>
      <c r="I138" s="14" t="inlineStr">
        <is>
          <t>015</t>
        </is>
      </c>
      <c r="J138" s="14" t="inlineStr">
        <is>
          <t>עבודות גמר</t>
        </is>
      </c>
      <c r="L138" s="14" t="inlineStr">
        <is>
          <t>000</t>
        </is>
      </c>
      <c r="M138" s="15" t="inlineStr">
        <is>
          <t>עבור עבודות גמר</t>
        </is>
      </c>
      <c r="N138" s="14" t="inlineStr">
        <is>
          <t>2112-015</t>
        </is>
      </c>
      <c r="O138" s="16" t="n">
        <v>19880</v>
      </c>
      <c r="P138" s="16" t="n">
        <v>23458.4</v>
      </c>
      <c r="Q138" s="21">
        <f>Table1[[#This Row],[סכום כולל מע"מ]]-Table1[[#This Row],[סכום לפני מעמ2]]</f>
        <v/>
      </c>
    </row>
    <row r="139">
      <c r="B139" t="n">
        <v>137</v>
      </c>
      <c r="C139" t="inlineStr">
        <is>
          <t>חשבוניות מטר</t>
        </is>
      </c>
      <c r="D139" t="n">
        <v>137</v>
      </c>
      <c r="E139" s="11" t="inlineStr">
        <is>
          <t>015-25-000614</t>
        </is>
      </c>
      <c r="F139" t="n">
        <v>60476</v>
      </c>
      <c r="G139" s="12" t="n">
        <v>46022</v>
      </c>
      <c r="H139" s="13" t="n">
        <v>8307</v>
      </c>
      <c r="I139" s="14" t="inlineStr">
        <is>
          <t>015</t>
        </is>
      </c>
      <c r="J139" s="14" t="inlineStr">
        <is>
          <t>עבודות גמר</t>
        </is>
      </c>
      <c r="L139" s="14" t="inlineStr">
        <is>
          <t>000</t>
        </is>
      </c>
      <c r="M139" s="15" t="inlineStr">
        <is>
          <t>עבור עבודות גמר</t>
        </is>
      </c>
      <c r="N139" s="14" t="inlineStr">
        <is>
          <t>2112-015</t>
        </is>
      </c>
      <c r="O139" s="16" t="n">
        <v>19900</v>
      </c>
      <c r="P139" s="16" t="n">
        <v>23482</v>
      </c>
      <c r="Q139" s="21">
        <f>Table1[[#This Row],[סכום כולל מע"מ]]-Table1[[#This Row],[סכום לפני מעמ2]]</f>
        <v/>
      </c>
    </row>
    <row r="140">
      <c r="B140" t="n">
        <v>138</v>
      </c>
      <c r="C140" t="inlineStr">
        <is>
          <t>חשבוניות מטר</t>
        </is>
      </c>
      <c r="D140" t="n">
        <v>138</v>
      </c>
      <c r="E140" s="11" t="inlineStr">
        <is>
          <t>015-25-000615</t>
        </is>
      </c>
      <c r="F140" t="n">
        <v>60476</v>
      </c>
      <c r="G140" s="12" t="n">
        <v>46022</v>
      </c>
      <c r="H140" s="13" t="n">
        <v>8306</v>
      </c>
      <c r="I140" s="14" t="inlineStr">
        <is>
          <t>015</t>
        </is>
      </c>
      <c r="J140" s="14" t="inlineStr">
        <is>
          <t>עבודות גמר</t>
        </is>
      </c>
      <c r="L140" s="14" t="inlineStr">
        <is>
          <t>000</t>
        </is>
      </c>
      <c r="M140" s="15" t="inlineStr">
        <is>
          <t>עבור עבודות גמר</t>
        </is>
      </c>
      <c r="N140" s="14" t="inlineStr">
        <is>
          <t>2112-015</t>
        </is>
      </c>
      <c r="O140" s="16" t="n">
        <v>19100</v>
      </c>
      <c r="P140" s="16" t="n">
        <v>22538</v>
      </c>
      <c r="Q140" s="21">
        <f>Table1[[#This Row],[סכום כולל מע"מ]]-Table1[[#This Row],[סכום לפני מעמ2]]</f>
        <v/>
      </c>
    </row>
    <row r="141">
      <c r="B141" t="n">
        <v>139</v>
      </c>
      <c r="C141" t="inlineStr">
        <is>
          <t>חשבוניות מטר</t>
        </is>
      </c>
      <c r="D141" t="n">
        <v>139</v>
      </c>
      <c r="E141" s="11" t="inlineStr">
        <is>
          <t>015-25-000616</t>
        </is>
      </c>
      <c r="F141" t="n">
        <v>60476</v>
      </c>
      <c r="G141" s="12" t="n">
        <v>46022</v>
      </c>
      <c r="H141" s="13" t="n">
        <v>8305</v>
      </c>
      <c r="I141" s="14" t="inlineStr">
        <is>
          <t>015</t>
        </is>
      </c>
      <c r="J141" s="14" t="inlineStr">
        <is>
          <t>עבודות גמר</t>
        </is>
      </c>
      <c r="L141" s="14" t="inlineStr">
        <is>
          <t>000</t>
        </is>
      </c>
      <c r="M141" s="15" t="inlineStr">
        <is>
          <t>עבור עבודות גמר</t>
        </is>
      </c>
      <c r="N141" s="14" t="inlineStr">
        <is>
          <t>2112-015</t>
        </is>
      </c>
      <c r="O141" s="16" t="n">
        <v>19300</v>
      </c>
      <c r="P141" s="16" t="n">
        <v>22774</v>
      </c>
      <c r="Q141" s="21">
        <f>Table1[[#This Row],[סכום כולל מע"מ]]-Table1[[#This Row],[סכום לפני מעמ2]]</f>
        <v/>
      </c>
    </row>
    <row r="142">
      <c r="B142" t="n">
        <v>140</v>
      </c>
      <c r="C142" t="inlineStr">
        <is>
          <t>חשבוניות מטר</t>
        </is>
      </c>
      <c r="D142" t="n">
        <v>140</v>
      </c>
      <c r="E142" s="11" t="inlineStr">
        <is>
          <t>015-25-000617</t>
        </is>
      </c>
      <c r="F142" t="n">
        <v>60476</v>
      </c>
      <c r="G142" s="12" t="n">
        <v>46022</v>
      </c>
      <c r="H142" s="13" t="n">
        <v>8304</v>
      </c>
      <c r="I142" s="14" t="inlineStr">
        <is>
          <t>015</t>
        </is>
      </c>
      <c r="J142" s="14" t="inlineStr">
        <is>
          <t>עבודות גמר</t>
        </is>
      </c>
      <c r="L142" s="14" t="inlineStr">
        <is>
          <t>000</t>
        </is>
      </c>
      <c r="M142" s="15" t="inlineStr">
        <is>
          <t>עבור עבודות גמר</t>
        </is>
      </c>
      <c r="N142" s="14" t="inlineStr">
        <is>
          <t>2112-015</t>
        </is>
      </c>
      <c r="O142" s="16" t="n">
        <v>19700</v>
      </c>
      <c r="P142" s="16" t="n">
        <v>23246</v>
      </c>
      <c r="Q142" s="21">
        <f>Table1[[#This Row],[סכום כולל מע"מ]]-Table1[[#This Row],[סכום לפני מעמ2]]</f>
        <v/>
      </c>
    </row>
    <row r="143">
      <c r="B143" t="n">
        <v>141</v>
      </c>
      <c r="C143" t="inlineStr">
        <is>
          <t>חשבוניות מטר</t>
        </is>
      </c>
      <c r="D143" t="n">
        <v>141</v>
      </c>
      <c r="E143" s="11" t="inlineStr">
        <is>
          <t>015-25-000618</t>
        </is>
      </c>
      <c r="F143" t="n">
        <v>60476</v>
      </c>
      <c r="G143" s="12" t="n">
        <v>46022</v>
      </c>
      <c r="H143" s="13" t="n">
        <v>8303</v>
      </c>
      <c r="I143" s="14" t="inlineStr">
        <is>
          <t>015</t>
        </is>
      </c>
      <c r="J143" s="14" t="inlineStr">
        <is>
          <t>עבודות גמר</t>
        </is>
      </c>
      <c r="L143" s="14" t="inlineStr">
        <is>
          <t>000</t>
        </is>
      </c>
      <c r="M143" s="15" t="inlineStr">
        <is>
          <t>עבור עבודות גמר</t>
        </is>
      </c>
      <c r="N143" s="14" t="inlineStr">
        <is>
          <t>2112-015</t>
        </is>
      </c>
      <c r="O143" s="16" t="n">
        <v>19900</v>
      </c>
      <c r="P143" s="16" t="n">
        <v>23482</v>
      </c>
      <c r="Q143" s="21">
        <f>Table1[[#This Row],[סכום כולל מע"מ]]-Table1[[#This Row],[סכום לפני מעמ2]]</f>
        <v/>
      </c>
    </row>
    <row r="144">
      <c r="B144" t="n">
        <v>142</v>
      </c>
      <c r="C144" t="inlineStr">
        <is>
          <t>חשבוניות מטר</t>
        </is>
      </c>
      <c r="D144" t="n">
        <v>142</v>
      </c>
      <c r="E144" s="11" t="inlineStr">
        <is>
          <t>015-25-000619</t>
        </is>
      </c>
      <c r="F144" t="n">
        <v>60476</v>
      </c>
      <c r="G144" s="12" t="n">
        <v>46022</v>
      </c>
      <c r="H144" s="13" t="n">
        <v>8302</v>
      </c>
      <c r="I144" s="14" t="inlineStr">
        <is>
          <t>015</t>
        </is>
      </c>
      <c r="J144" s="14" t="inlineStr">
        <is>
          <t>עבודות גמר</t>
        </is>
      </c>
      <c r="L144" s="14" t="inlineStr">
        <is>
          <t>000</t>
        </is>
      </c>
      <c r="M144" s="15" t="inlineStr">
        <is>
          <t>עבור עבודות גמר</t>
        </is>
      </c>
      <c r="N144" s="14" t="inlineStr">
        <is>
          <t>2112-015</t>
        </is>
      </c>
      <c r="O144" s="16" t="n">
        <v>19770</v>
      </c>
      <c r="P144" s="16" t="n">
        <v>23328.6</v>
      </c>
      <c r="Q144" s="21">
        <f>Table1[[#This Row],[סכום כולל מע"מ]]-Table1[[#This Row],[סכום לפני מעמ2]]</f>
        <v/>
      </c>
    </row>
    <row r="145">
      <c r="B145" t="n">
        <v>143</v>
      </c>
      <c r="C145" t="inlineStr">
        <is>
          <t>חשבוניות מטר</t>
        </is>
      </c>
      <c r="D145" t="n">
        <v>143</v>
      </c>
      <c r="E145" s="11" t="inlineStr">
        <is>
          <t>015-25-000620</t>
        </is>
      </c>
      <c r="F145" t="n">
        <v>60476</v>
      </c>
      <c r="G145" s="12" t="n">
        <v>46022</v>
      </c>
      <c r="H145" s="13" t="n">
        <v>8301</v>
      </c>
      <c r="I145" s="14" t="inlineStr">
        <is>
          <t>015</t>
        </is>
      </c>
      <c r="J145" s="14" t="inlineStr">
        <is>
          <t>עבודות בניה</t>
        </is>
      </c>
      <c r="L145" s="14" t="inlineStr">
        <is>
          <t>000</t>
        </is>
      </c>
      <c r="M145" s="15" t="inlineStr">
        <is>
          <t>עבור עבודות בניה</t>
        </is>
      </c>
      <c r="N145" s="14" t="inlineStr">
        <is>
          <t>2112-015</t>
        </is>
      </c>
      <c r="O145" s="16" t="n">
        <v>19200</v>
      </c>
      <c r="P145" s="16" t="n">
        <v>22656</v>
      </c>
      <c r="Q145" s="21">
        <f>Table1[[#This Row],[סכום כולל מע"מ]]-Table1[[#This Row],[סכום לפני מעמ2]]</f>
        <v/>
      </c>
    </row>
    <row r="146">
      <c r="B146" t="n">
        <v>144</v>
      </c>
      <c r="C146" t="inlineStr">
        <is>
          <t>חשבוניות מטר</t>
        </is>
      </c>
      <c r="D146" t="n">
        <v>144</v>
      </c>
      <c r="E146" s="11" t="inlineStr">
        <is>
          <t>015-25-000621</t>
        </is>
      </c>
      <c r="F146" t="n">
        <v>60476</v>
      </c>
      <c r="G146" s="12" t="n">
        <v>46022</v>
      </c>
      <c r="H146" s="13" t="n">
        <v>8300</v>
      </c>
      <c r="I146" s="14" t="inlineStr">
        <is>
          <t>015</t>
        </is>
      </c>
      <c r="J146" s="14" t="inlineStr">
        <is>
          <t>עבודות בניה</t>
        </is>
      </c>
      <c r="L146" s="14" t="inlineStr">
        <is>
          <t>000</t>
        </is>
      </c>
      <c r="M146" s="15" t="inlineStr">
        <is>
          <t>עבור עבודות בניה</t>
        </is>
      </c>
      <c r="N146" s="14" t="inlineStr">
        <is>
          <t>2112-015</t>
        </is>
      </c>
      <c r="O146" s="16" t="n">
        <v>19800</v>
      </c>
      <c r="P146" s="16" t="n">
        <v>23364</v>
      </c>
      <c r="Q146" s="21">
        <f>Table1[[#This Row],[סכום כולל מע"מ]]-Table1[[#This Row],[סכום לפני מעמ2]]</f>
        <v/>
      </c>
    </row>
    <row r="147">
      <c r="B147" t="n">
        <v>145</v>
      </c>
      <c r="C147" t="inlineStr">
        <is>
          <t>חשבוניות מטר</t>
        </is>
      </c>
      <c r="D147" t="n">
        <v>145</v>
      </c>
      <c r="E147" s="11" t="inlineStr">
        <is>
          <t>015-25-000622</t>
        </is>
      </c>
      <c r="F147" t="n">
        <v>60476</v>
      </c>
      <c r="G147" s="12" t="n">
        <v>46022</v>
      </c>
      <c r="H147" s="13" t="n">
        <v>8299</v>
      </c>
      <c r="I147" s="14" t="inlineStr">
        <is>
          <t>015</t>
        </is>
      </c>
      <c r="J147" s="14" t="inlineStr">
        <is>
          <t>עבודות בניה</t>
        </is>
      </c>
      <c r="L147" s="14" t="inlineStr">
        <is>
          <t>000</t>
        </is>
      </c>
      <c r="M147" s="15" t="inlineStr">
        <is>
          <t>עבור עבודות בניה</t>
        </is>
      </c>
      <c r="N147" s="14" t="inlineStr">
        <is>
          <t>2112-015</t>
        </is>
      </c>
      <c r="O147" s="16" t="n">
        <v>19770</v>
      </c>
      <c r="P147" s="16" t="n">
        <v>23328.6</v>
      </c>
      <c r="Q147" s="21">
        <f>Table1[[#This Row],[סכום כולל מע"מ]]-Table1[[#This Row],[סכום לפני מעמ2]]</f>
        <v/>
      </c>
    </row>
    <row r="148">
      <c r="B148" t="n">
        <v>146</v>
      </c>
      <c r="C148" t="inlineStr">
        <is>
          <t>חשבוניות מטר</t>
        </is>
      </c>
      <c r="D148" t="n">
        <v>146</v>
      </c>
      <c r="E148" s="11" t="inlineStr">
        <is>
          <t>015-25-000623</t>
        </is>
      </c>
      <c r="F148" t="n">
        <v>60476</v>
      </c>
      <c r="G148" s="12" t="n">
        <v>46022</v>
      </c>
      <c r="H148" s="13" t="n">
        <v>8298</v>
      </c>
      <c r="I148" s="14" t="inlineStr">
        <is>
          <t>015</t>
        </is>
      </c>
      <c r="J148" s="14" t="inlineStr">
        <is>
          <t>עבודות בניה</t>
        </is>
      </c>
      <c r="L148" s="14" t="inlineStr">
        <is>
          <t>000</t>
        </is>
      </c>
      <c r="M148" s="15" t="inlineStr">
        <is>
          <t>עבור עבודות בניה</t>
        </is>
      </c>
      <c r="N148" s="14" t="inlineStr">
        <is>
          <t>2112-015</t>
        </is>
      </c>
      <c r="O148" s="16" t="n">
        <v>19100</v>
      </c>
      <c r="P148" s="16" t="n">
        <v>22538</v>
      </c>
      <c r="Q148" s="21">
        <f>Table1[[#This Row],[סכום כולל מע"מ]]-Table1[[#This Row],[סכום לפני מעמ2]]</f>
        <v/>
      </c>
    </row>
    <row r="149">
      <c r="B149" t="n">
        <v>147</v>
      </c>
      <c r="C149" t="inlineStr">
        <is>
          <t>חשבוניות מטר</t>
        </is>
      </c>
      <c r="D149" t="n">
        <v>147</v>
      </c>
      <c r="E149" s="11" t="inlineStr">
        <is>
          <t>015-25-000624</t>
        </is>
      </c>
      <c r="F149" t="n">
        <v>60476</v>
      </c>
      <c r="G149" s="12" t="n">
        <v>46022</v>
      </c>
      <c r="H149" s="13" t="n">
        <v>8297</v>
      </c>
      <c r="I149" s="14" t="inlineStr">
        <is>
          <t>015</t>
        </is>
      </c>
      <c r="J149" s="14" t="inlineStr">
        <is>
          <t>עבודות בניה</t>
        </is>
      </c>
      <c r="L149" s="14" t="inlineStr">
        <is>
          <t>000</t>
        </is>
      </c>
      <c r="M149" s="15" t="inlineStr">
        <is>
          <t>עבור עבודות בניה</t>
        </is>
      </c>
      <c r="N149" s="14" t="inlineStr">
        <is>
          <t>2112-015</t>
        </is>
      </c>
      <c r="O149" s="16" t="n">
        <v>19100</v>
      </c>
      <c r="P149" s="16" t="n">
        <v>22538</v>
      </c>
      <c r="Q149" s="21">
        <f>Table1[[#This Row],[סכום כולל מע"מ]]-Table1[[#This Row],[סכום לפני מעמ2]]</f>
        <v/>
      </c>
    </row>
    <row r="150">
      <c r="B150" t="n">
        <v>148</v>
      </c>
      <c r="C150" t="inlineStr">
        <is>
          <t>חשבוניות מטר</t>
        </is>
      </c>
      <c r="D150" t="n">
        <v>148</v>
      </c>
      <c r="E150" s="11" t="inlineStr">
        <is>
          <t>015-25-000625</t>
        </is>
      </c>
      <c r="F150" t="n">
        <v>60476</v>
      </c>
      <c r="G150" s="12" t="n">
        <v>46022</v>
      </c>
      <c r="H150" s="13" t="n">
        <v>8296</v>
      </c>
      <c r="I150" s="14" t="inlineStr">
        <is>
          <t>015</t>
        </is>
      </c>
      <c r="J150" s="14" t="inlineStr">
        <is>
          <t>עבודות בניה</t>
        </is>
      </c>
      <c r="L150" s="14" t="inlineStr">
        <is>
          <t>000</t>
        </is>
      </c>
      <c r="M150" s="15" t="inlineStr">
        <is>
          <t>עבור עבודות בניה</t>
        </is>
      </c>
      <c r="N150" s="14" t="inlineStr">
        <is>
          <t>2112-015</t>
        </is>
      </c>
      <c r="O150" s="16" t="n">
        <v>19900</v>
      </c>
      <c r="P150" s="16" t="n">
        <v>23482</v>
      </c>
      <c r="Q150" s="21">
        <f>Table1[[#This Row],[סכום כולל מע"מ]]-Table1[[#This Row],[סכום לפני מעמ2]]</f>
        <v/>
      </c>
    </row>
    <row r="151">
      <c r="B151" t="n">
        <v>149</v>
      </c>
      <c r="C151" t="inlineStr">
        <is>
          <t>חשבוניות מטר</t>
        </is>
      </c>
      <c r="D151" t="n">
        <v>149</v>
      </c>
      <c r="E151" s="11" t="inlineStr">
        <is>
          <t>015-25-000626</t>
        </is>
      </c>
      <c r="F151" t="n">
        <v>60476</v>
      </c>
      <c r="G151" s="12" t="n">
        <v>46022</v>
      </c>
      <c r="H151" s="13" t="n">
        <v>8295</v>
      </c>
      <c r="I151" s="14" t="inlineStr">
        <is>
          <t>015</t>
        </is>
      </c>
      <c r="J151" s="14" t="inlineStr">
        <is>
          <t>עבודות בניה</t>
        </is>
      </c>
      <c r="L151" s="14" t="inlineStr">
        <is>
          <t>000</t>
        </is>
      </c>
      <c r="M151" s="15" t="inlineStr">
        <is>
          <t>עבור עבודות בניה</t>
        </is>
      </c>
      <c r="N151" s="14" t="inlineStr">
        <is>
          <t>2112-015</t>
        </is>
      </c>
      <c r="O151" s="16" t="n">
        <v>19700</v>
      </c>
      <c r="P151" s="16" t="n">
        <v>23246</v>
      </c>
      <c r="Q151" s="21">
        <f>Table1[[#This Row],[סכום כולל מע"מ]]-Table1[[#This Row],[סכום לפני מעמ2]]</f>
        <v/>
      </c>
    </row>
    <row r="152">
      <c r="B152" t="n">
        <v>150</v>
      </c>
      <c r="C152" t="inlineStr">
        <is>
          <t>חשבוניות מטר</t>
        </is>
      </c>
      <c r="D152" t="n">
        <v>150</v>
      </c>
      <c r="E152" s="11" t="inlineStr">
        <is>
          <t>015-25-000627</t>
        </is>
      </c>
      <c r="F152" t="n">
        <v>60476</v>
      </c>
      <c r="G152" s="12" t="n">
        <v>46022</v>
      </c>
      <c r="H152" s="13" t="n">
        <v>8294</v>
      </c>
      <c r="I152" s="14" t="inlineStr">
        <is>
          <t>015</t>
        </is>
      </c>
      <c r="J152" s="14" t="inlineStr">
        <is>
          <t>עבודות שיפוצים</t>
        </is>
      </c>
      <c r="L152" s="14" t="inlineStr">
        <is>
          <t>000</t>
        </is>
      </c>
      <c r="M152" s="15" t="inlineStr">
        <is>
          <t>עבור עבודות שיפוצים</t>
        </is>
      </c>
      <c r="N152" s="14" t="inlineStr">
        <is>
          <t>2112-015</t>
        </is>
      </c>
      <c r="O152" s="16" t="n">
        <v>19200</v>
      </c>
      <c r="P152" s="16" t="n">
        <v>22656</v>
      </c>
      <c r="Q152" s="21">
        <f>Table1[[#This Row],[סכום כולל מע"מ]]-Table1[[#This Row],[סכום לפני מעמ2]]</f>
        <v/>
      </c>
    </row>
    <row r="153">
      <c r="B153" t="n">
        <v>151</v>
      </c>
      <c r="C153" t="inlineStr">
        <is>
          <t>חשבוניות מטר</t>
        </is>
      </c>
      <c r="D153" t="n">
        <v>151</v>
      </c>
      <c r="E153" s="11" t="inlineStr">
        <is>
          <t>015-25-000628</t>
        </is>
      </c>
      <c r="F153" t="n">
        <v>60476</v>
      </c>
      <c r="G153" s="12" t="n">
        <v>46022</v>
      </c>
      <c r="H153" s="13" t="n">
        <v>8293</v>
      </c>
      <c r="I153" s="14" t="inlineStr">
        <is>
          <t>015</t>
        </is>
      </c>
      <c r="J153" s="14" t="inlineStr">
        <is>
          <t>עבודות שיפוצים</t>
        </is>
      </c>
      <c r="L153" s="14" t="inlineStr">
        <is>
          <t>000</t>
        </is>
      </c>
      <c r="M153" s="15" t="inlineStr">
        <is>
          <t>עבור עבודות שיפוצים</t>
        </is>
      </c>
      <c r="N153" s="14" t="inlineStr">
        <is>
          <t>2112-015</t>
        </is>
      </c>
      <c r="O153" s="16" t="n">
        <v>19800</v>
      </c>
      <c r="P153" s="16" t="n">
        <v>23364</v>
      </c>
      <c r="Q153" s="21">
        <f>Table1[[#This Row],[סכום כולל מע"מ]]-Table1[[#This Row],[סכום לפני מעמ2]]</f>
        <v/>
      </c>
    </row>
    <row r="154">
      <c r="B154" t="n">
        <v>152</v>
      </c>
      <c r="C154" t="inlineStr">
        <is>
          <t>חשבוניות מטר</t>
        </is>
      </c>
      <c r="D154" t="n">
        <v>152</v>
      </c>
      <c r="E154" s="11" t="inlineStr">
        <is>
          <t>015-25-000629</t>
        </is>
      </c>
      <c r="F154" t="n">
        <v>60476</v>
      </c>
      <c r="G154" s="12" t="n">
        <v>46022</v>
      </c>
      <c r="H154" s="13" t="n">
        <v>8292</v>
      </c>
      <c r="I154" s="14" t="inlineStr">
        <is>
          <t>015</t>
        </is>
      </c>
      <c r="J154" s="14" t="inlineStr">
        <is>
          <t>עבודות שיפוצים</t>
        </is>
      </c>
      <c r="L154" s="14" t="inlineStr">
        <is>
          <t>000</t>
        </is>
      </c>
      <c r="M154" s="15" t="inlineStr">
        <is>
          <t>עבור עבודות שיפוצים</t>
        </is>
      </c>
      <c r="N154" s="14" t="inlineStr">
        <is>
          <t>2112-015</t>
        </is>
      </c>
      <c r="O154" s="16" t="n">
        <v>19400</v>
      </c>
      <c r="P154" s="16" t="n">
        <v>22892</v>
      </c>
      <c r="Q154" s="21">
        <f>Table1[[#This Row],[סכום כולל מע"מ]]-Table1[[#This Row],[סכום לפני מעמ2]]</f>
        <v/>
      </c>
    </row>
    <row r="155">
      <c r="B155" t="n">
        <v>153</v>
      </c>
      <c r="C155" t="inlineStr">
        <is>
          <t>חשבוניות מטר</t>
        </is>
      </c>
      <c r="D155" t="n">
        <v>153</v>
      </c>
      <c r="E155" s="11" t="inlineStr">
        <is>
          <t>015-25-000630</t>
        </is>
      </c>
      <c r="F155" t="n">
        <v>60476</v>
      </c>
      <c r="G155" s="12" t="n">
        <v>46022</v>
      </c>
      <c r="H155" s="13" t="n">
        <v>8291</v>
      </c>
      <c r="I155" s="14" t="inlineStr">
        <is>
          <t>015</t>
        </is>
      </c>
      <c r="J155" s="14" t="inlineStr">
        <is>
          <t>עבודות שיפוצים</t>
        </is>
      </c>
      <c r="L155" s="14" t="inlineStr">
        <is>
          <t>000</t>
        </is>
      </c>
      <c r="M155" s="15" t="inlineStr">
        <is>
          <t>עבור עבודות שיפוצים</t>
        </is>
      </c>
      <c r="N155" s="14" t="inlineStr">
        <is>
          <t>2112-015</t>
        </is>
      </c>
      <c r="O155" s="16" t="n">
        <v>19100</v>
      </c>
      <c r="P155" s="16" t="n">
        <v>22538</v>
      </c>
      <c r="Q155" s="21">
        <f>Table1[[#This Row],[סכום כולל מע"מ]]-Table1[[#This Row],[סכום לפני מעמ2]]</f>
        <v/>
      </c>
    </row>
    <row r="156">
      <c r="B156" t="n">
        <v>154</v>
      </c>
      <c r="C156" t="inlineStr">
        <is>
          <t>חשבוניות מטר</t>
        </is>
      </c>
      <c r="D156" t="n">
        <v>154</v>
      </c>
      <c r="E156" s="11" t="inlineStr">
        <is>
          <t>015-25-000631</t>
        </is>
      </c>
      <c r="F156" t="n">
        <v>60476</v>
      </c>
      <c r="G156" s="12" t="n">
        <v>46022</v>
      </c>
      <c r="H156" s="13" t="n">
        <v>8290</v>
      </c>
      <c r="I156" s="14" t="inlineStr">
        <is>
          <t>015</t>
        </is>
      </c>
      <c r="J156" s="14" t="inlineStr">
        <is>
          <t>עבודות שיפוצים</t>
        </is>
      </c>
      <c r="L156" s="14" t="inlineStr">
        <is>
          <t>000</t>
        </is>
      </c>
      <c r="M156" s="15" t="inlineStr">
        <is>
          <t>עבור עבודות שיפוצים</t>
        </is>
      </c>
      <c r="N156" s="14" t="inlineStr">
        <is>
          <t>2112-015</t>
        </is>
      </c>
      <c r="O156" s="16" t="n">
        <v>19770</v>
      </c>
      <c r="P156" s="16" t="n">
        <v>23328.6</v>
      </c>
      <c r="Q156" s="21">
        <f>Table1[[#This Row],[סכום כולל מע"מ]]-Table1[[#This Row],[סכום לפני מעמ2]]</f>
        <v/>
      </c>
    </row>
    <row r="157">
      <c r="E157" s="11" t="n"/>
      <c r="G157" s="12" t="n"/>
      <c r="H157" s="13" t="n"/>
      <c r="I157" s="14" t="n"/>
      <c r="J157" s="14" t="n"/>
      <c r="K157" s="14" t="n"/>
      <c r="L157" s="14" t="n"/>
      <c r="M157" s="15" t="n"/>
      <c r="N157" s="14" t="n"/>
      <c r="O157" s="21">
        <f>SUBTOTAL(109,Table1[סכום לפני מעמ2])</f>
        <v/>
      </c>
      <c r="P157" s="17">
        <f>SUBTOTAL(109,Table1[סכום לפני מעמ2])</f>
        <v/>
      </c>
      <c r="Q157" s="17">
        <f>SUBTOTAL(109,Table1[סכום לפני מעמ2])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Reut</dc:creator>
  <dcterms:created xmlns:dcterms="http://purl.org/dc/terms/" xmlns:xsi="http://www.w3.org/2001/XMLSchema-instance" xsi:type="dcterms:W3CDTF">2026-02-03T07:03:38Z</dcterms:created>
  <dcterms:modified xmlns:dcterms="http://purl.org/dc/terms/" xmlns:xsi="http://www.w3.org/2001/XMLSchema-instance" xsi:type="dcterms:W3CDTF">2026-02-18T15:02:09Z</dcterms:modified>
  <cp:lastModifiedBy>בועז אנגלנדר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0x01010079ADEC314A57B24D868FBD1B89B9EC83</vt:lpwstr>
  </property>
  <property name="_dlc_DocIdItemGuid" fmtid="{D5CDD505-2E9C-101B-9397-08002B2CF9AE}" pid="3">
    <vt:lpwstr xmlns:vt="http://schemas.openxmlformats.org/officeDocument/2006/docPropsVTypes">e1b53d28-73ab-44ca-ad63-6a19f7f8e6b1</vt:lpwstr>
  </property>
  <property name="MediaServiceImageTags" fmtid="{D5CDD505-2E9C-101B-9397-08002B2CF9AE}" pid="4">
    <vt:lpwstr xmlns:vt="http://schemas.openxmlformats.org/officeDocument/2006/docPropsVTypes"/>
  </property>
</Properties>
</file>