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bavli 21.25\שילובים\"/>
    </mc:Choice>
  </mc:AlternateContent>
  <xr:revisionPtr revIDLastSave="0" documentId="13_ncr:1_{3037EE24-EEB1-4317-829B-13186EAF85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6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P216" i="1"/>
  <c r="O216" i="1"/>
</calcChain>
</file>

<file path=xl/sharedStrings.xml><?xml version="1.0" encoding="utf-8"?>
<sst xmlns="http://schemas.openxmlformats.org/spreadsheetml/2006/main" count="1720" uniqueCount="467">
  <si>
    <t>מס</t>
  </si>
  <si>
    <t>שם קובץ חשבונית</t>
  </si>
  <si>
    <t>מספר עמוד</t>
  </si>
  <si>
    <t>חשבונית שנוצרה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</si>
  <si>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</si>
  <si>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</si>
  <si>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</si>
  <si>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</si>
  <si>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</si>
  <si>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</si>
  <si>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</si>
  <si>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</si>
  <si>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הוצאות </t>
  </si>
  <si>
    <t>סכום לפני מעמ2</t>
  </si>
  <si>
    <t>סכום כולל מע"מ</t>
  </si>
  <si>
    <t>חשבוניות ספק שילובים</t>
  </si>
  <si>
    <t>015-25-000001</t>
  </si>
  <si>
    <t>82204</t>
  </si>
  <si>
    <t>015</t>
  </si>
  <si>
    <t>עבודות שיפוצים</t>
  </si>
  <si>
    <t>000</t>
  </si>
  <si>
    <t>עבור עבודות שיפוצים</t>
  </si>
  <si>
    <t>2112-015</t>
  </si>
  <si>
    <t>015-25-000002</t>
  </si>
  <si>
    <t>82205</t>
  </si>
  <si>
    <t>עבודות עפר</t>
  </si>
  <si>
    <t>עבור עבודות עפר</t>
  </si>
  <si>
    <t>015-25-000003</t>
  </si>
  <si>
    <t>82206</t>
  </si>
  <si>
    <t>015-25-000004</t>
  </si>
  <si>
    <t>82207</t>
  </si>
  <si>
    <t>עבודות שלד</t>
  </si>
  <si>
    <t>עבור עבודות שלד</t>
  </si>
  <si>
    <t>015-25-000005</t>
  </si>
  <si>
    <t>82208</t>
  </si>
  <si>
    <t>עבודות בנייה</t>
  </si>
  <si>
    <t>עבור עבודות בנייה</t>
  </si>
  <si>
    <t>015-25-000006</t>
  </si>
  <si>
    <t>82209</t>
  </si>
  <si>
    <t>עבודות גמר</t>
  </si>
  <si>
    <t>עבור עבודות גמר</t>
  </si>
  <si>
    <t>015-25-000007</t>
  </si>
  <si>
    <t>82210</t>
  </si>
  <si>
    <t>015-25-000008</t>
  </si>
  <si>
    <t>82212</t>
  </si>
  <si>
    <t>015-25-000009</t>
  </si>
  <si>
    <t>82213</t>
  </si>
  <si>
    <t>015-25-000010</t>
  </si>
  <si>
    <t>82214</t>
  </si>
  <si>
    <t>015-25-000011</t>
  </si>
  <si>
    <t>82215</t>
  </si>
  <si>
    <t>עבו עבודות שלד</t>
  </si>
  <si>
    <t>015-25-000012</t>
  </si>
  <si>
    <t>82216</t>
  </si>
  <si>
    <t>015-25-000013</t>
  </si>
  <si>
    <t>82217</t>
  </si>
  <si>
    <t>015-25-000014</t>
  </si>
  <si>
    <t>82218</t>
  </si>
  <si>
    <t>015-25-000015</t>
  </si>
  <si>
    <t>82219</t>
  </si>
  <si>
    <t>015-25-000016</t>
  </si>
  <si>
    <t>82220</t>
  </si>
  <si>
    <t>015-25-000017</t>
  </si>
  <si>
    <t>82221</t>
  </si>
  <si>
    <t>015-25-000018</t>
  </si>
  <si>
    <t>82222</t>
  </si>
  <si>
    <t>015-25-000019</t>
  </si>
  <si>
    <t>82223</t>
  </si>
  <si>
    <t>015-25-000020</t>
  </si>
  <si>
    <t>82224</t>
  </si>
  <si>
    <t>015-25-000021</t>
  </si>
  <si>
    <t>82225</t>
  </si>
  <si>
    <t>עבודת בנייה</t>
  </si>
  <si>
    <t>עבור עבודת בנייה</t>
  </si>
  <si>
    <t>015-25-000022</t>
  </si>
  <si>
    <t>82226</t>
  </si>
  <si>
    <t>015-25-000023</t>
  </si>
  <si>
    <t>82227</t>
  </si>
  <si>
    <t>015-25-000024</t>
  </si>
  <si>
    <t>82228</t>
  </si>
  <si>
    <t>015-25-000025</t>
  </si>
  <si>
    <t>82229</t>
  </si>
  <si>
    <t>015-25-000026</t>
  </si>
  <si>
    <t>82230</t>
  </si>
  <si>
    <t>015-25-000027</t>
  </si>
  <si>
    <t>82231</t>
  </si>
  <si>
    <t>015-25-000028</t>
  </si>
  <si>
    <t>82232</t>
  </si>
  <si>
    <t>015-25-000029</t>
  </si>
  <si>
    <t>82233</t>
  </si>
  <si>
    <t>015-25-000030</t>
  </si>
  <si>
    <t>82234</t>
  </si>
  <si>
    <t>015-25-000031</t>
  </si>
  <si>
    <t>82235</t>
  </si>
  <si>
    <t>015-25-000032</t>
  </si>
  <si>
    <t>82236</t>
  </si>
  <si>
    <t>015-25-000033</t>
  </si>
  <si>
    <t>82237</t>
  </si>
  <si>
    <t>עבודות בניה</t>
  </si>
  <si>
    <t>עבור עבודות בניה</t>
  </si>
  <si>
    <t>015-25-000034</t>
  </si>
  <si>
    <t>82238</t>
  </si>
  <si>
    <t>015-25-000035</t>
  </si>
  <si>
    <t>82239</t>
  </si>
  <si>
    <t>015-25-000036</t>
  </si>
  <si>
    <t>82240</t>
  </si>
  <si>
    <t>015-25-000037</t>
  </si>
  <si>
    <t>82241</t>
  </si>
  <si>
    <t>015-25-000038</t>
  </si>
  <si>
    <t>82242</t>
  </si>
  <si>
    <t>015-25-000039</t>
  </si>
  <si>
    <t>82243</t>
  </si>
  <si>
    <t>015-25-000040</t>
  </si>
  <si>
    <t>82244</t>
  </si>
  <si>
    <t>015-25-000041</t>
  </si>
  <si>
    <t>82245</t>
  </si>
  <si>
    <t>015-25-000042</t>
  </si>
  <si>
    <t>82246</t>
  </si>
  <si>
    <t>015-25-000043</t>
  </si>
  <si>
    <t>82247</t>
  </si>
  <si>
    <t>015-25-000044</t>
  </si>
  <si>
    <t>82248</t>
  </si>
  <si>
    <t>015-25-000045</t>
  </si>
  <si>
    <t>82249</t>
  </si>
  <si>
    <t>015-25-000046</t>
  </si>
  <si>
    <t>82250</t>
  </si>
  <si>
    <t>015-25-000047</t>
  </si>
  <si>
    <t>82251</t>
  </si>
  <si>
    <t>015-25-000048</t>
  </si>
  <si>
    <t>82252</t>
  </si>
  <si>
    <t>015-25-000049</t>
  </si>
  <si>
    <t>82253</t>
  </si>
  <si>
    <t>015-25-000050</t>
  </si>
  <si>
    <t>82254</t>
  </si>
  <si>
    <t>015-25-000051</t>
  </si>
  <si>
    <t>82255</t>
  </si>
  <si>
    <t>015-25-000100</t>
  </si>
  <si>
    <t>82256</t>
  </si>
  <si>
    <t>015-25-000052</t>
  </si>
  <si>
    <t>82257</t>
  </si>
  <si>
    <t>015-25-000053</t>
  </si>
  <si>
    <t>82258</t>
  </si>
  <si>
    <t>015-25-000054</t>
  </si>
  <si>
    <t>82259</t>
  </si>
  <si>
    <t>015-25-000055</t>
  </si>
  <si>
    <t>82260</t>
  </si>
  <si>
    <t>עבודת גמר</t>
  </si>
  <si>
    <t>עבור עבודת גמר</t>
  </si>
  <si>
    <t>015-25-000056</t>
  </si>
  <si>
    <t>82261</t>
  </si>
  <si>
    <t>015-25-000057</t>
  </si>
  <si>
    <t>82262</t>
  </si>
  <si>
    <t>015-25-000058</t>
  </si>
  <si>
    <t>82263</t>
  </si>
  <si>
    <t>015-25-000059</t>
  </si>
  <si>
    <t>82264</t>
  </si>
  <si>
    <t>015-25-000060</t>
  </si>
  <si>
    <t>82265</t>
  </si>
  <si>
    <t>015-25-000061</t>
  </si>
  <si>
    <t>82266</t>
  </si>
  <si>
    <t>015-25-000062</t>
  </si>
  <si>
    <t>82267</t>
  </si>
  <si>
    <t>015-25-000063</t>
  </si>
  <si>
    <t>82268</t>
  </si>
  <si>
    <t>015-25-000064</t>
  </si>
  <si>
    <t>82269</t>
  </si>
  <si>
    <t>015-25-000065</t>
  </si>
  <si>
    <t>82270</t>
  </si>
  <si>
    <t>015-25-000066</t>
  </si>
  <si>
    <t>82271</t>
  </si>
  <si>
    <t>015-25-000067</t>
  </si>
  <si>
    <t>82272</t>
  </si>
  <si>
    <t>015-25-000068</t>
  </si>
  <si>
    <t>82273</t>
  </si>
  <si>
    <t>015-25-000069</t>
  </si>
  <si>
    <t>82274</t>
  </si>
  <si>
    <t>עבודות</t>
  </si>
  <si>
    <t>עבור עבודות</t>
  </si>
  <si>
    <t>015-25-000070</t>
  </si>
  <si>
    <t>82275</t>
  </si>
  <si>
    <t>015-25-000071</t>
  </si>
  <si>
    <t>82276</t>
  </si>
  <si>
    <t>015-25-000072</t>
  </si>
  <si>
    <t>82277</t>
  </si>
  <si>
    <t>015-25-000073</t>
  </si>
  <si>
    <t>82278</t>
  </si>
  <si>
    <t>015-25-000074</t>
  </si>
  <si>
    <t>82279</t>
  </si>
  <si>
    <t>015-25-000075</t>
  </si>
  <si>
    <t>82280</t>
  </si>
  <si>
    <t>015-25-000076</t>
  </si>
  <si>
    <t>82281</t>
  </si>
  <si>
    <t>015-25-000077</t>
  </si>
  <si>
    <t>82282</t>
  </si>
  <si>
    <t>015-25-000078</t>
  </si>
  <si>
    <t>82283</t>
  </si>
  <si>
    <t>015-25-000079</t>
  </si>
  <si>
    <t>82284</t>
  </si>
  <si>
    <t>015-25-000080</t>
  </si>
  <si>
    <t>82285</t>
  </si>
  <si>
    <t>015-25-000081</t>
  </si>
  <si>
    <t>82286</t>
  </si>
  <si>
    <t>עבודות שלד אתר</t>
  </si>
  <si>
    <t>עבור עבודות שלד אתר</t>
  </si>
  <si>
    <t>015-25-000082</t>
  </si>
  <si>
    <t>82287</t>
  </si>
  <si>
    <t>015-25-000083</t>
  </si>
  <si>
    <t>82288</t>
  </si>
  <si>
    <t>015-25-000084</t>
  </si>
  <si>
    <t>82289</t>
  </si>
  <si>
    <t>015-25-000085</t>
  </si>
  <si>
    <t>82290</t>
  </si>
  <si>
    <t>015-25-000086</t>
  </si>
  <si>
    <t>82291</t>
  </si>
  <si>
    <t>015-25-000087</t>
  </si>
  <si>
    <t>82292</t>
  </si>
  <si>
    <t>015-25-000088</t>
  </si>
  <si>
    <t>82293</t>
  </si>
  <si>
    <t>015-25-000089</t>
  </si>
  <si>
    <t>82294</t>
  </si>
  <si>
    <t>015-25-000090</t>
  </si>
  <si>
    <t>82347</t>
  </si>
  <si>
    <t>015-25-000091</t>
  </si>
  <si>
    <t>82348</t>
  </si>
  <si>
    <t>015-25-000092</t>
  </si>
  <si>
    <t>82349</t>
  </si>
  <si>
    <t>015-25-000093</t>
  </si>
  <si>
    <t>82350</t>
  </si>
  <si>
    <t>015-25-000094</t>
  </si>
  <si>
    <t>82351</t>
  </si>
  <si>
    <t>015-25-000095</t>
  </si>
  <si>
    <t>82352</t>
  </si>
  <si>
    <t>015-25-000096</t>
  </si>
  <si>
    <t>82353</t>
  </si>
  <si>
    <t>015-25-000097</t>
  </si>
  <si>
    <t>82354</t>
  </si>
  <si>
    <t>015-25-000098</t>
  </si>
  <si>
    <t>82355</t>
  </si>
  <si>
    <t>015-25-000099</t>
  </si>
  <si>
    <t>82356</t>
  </si>
  <si>
    <t>015-25-000101</t>
  </si>
  <si>
    <t>82357</t>
  </si>
  <si>
    <t>015-25-000102</t>
  </si>
  <si>
    <t>82358</t>
  </si>
  <si>
    <t>015-25-000103</t>
  </si>
  <si>
    <t>82359</t>
  </si>
  <si>
    <t>015-25-000104</t>
  </si>
  <si>
    <t>82360</t>
  </si>
  <si>
    <t>015-25-000105</t>
  </si>
  <si>
    <t>82361</t>
  </si>
  <si>
    <t>015-25-000106</t>
  </si>
  <si>
    <t>82362</t>
  </si>
  <si>
    <t>015-25-000107</t>
  </si>
  <si>
    <t>82363</t>
  </si>
  <si>
    <t>015-25-000108</t>
  </si>
  <si>
    <t>82364</t>
  </si>
  <si>
    <t>015-25-000109</t>
  </si>
  <si>
    <t>82365</t>
  </si>
  <si>
    <t>015-25-000110</t>
  </si>
  <si>
    <t>82366</t>
  </si>
  <si>
    <t>015-25-000111</t>
  </si>
  <si>
    <t>82367</t>
  </si>
  <si>
    <t>015-25-000112</t>
  </si>
  <si>
    <t>82368</t>
  </si>
  <si>
    <t>015-25-000113</t>
  </si>
  <si>
    <t>82369</t>
  </si>
  <si>
    <t>015-25-000114</t>
  </si>
  <si>
    <t>82370</t>
  </si>
  <si>
    <t>015-25-000115</t>
  </si>
  <si>
    <t>82371</t>
  </si>
  <si>
    <t>015-25-000116</t>
  </si>
  <si>
    <t>82372</t>
  </si>
  <si>
    <t>015-25-000117</t>
  </si>
  <si>
    <t>82373</t>
  </si>
  <si>
    <t>015-25-000118</t>
  </si>
  <si>
    <t>82374</t>
  </si>
  <si>
    <t>015-25-000119</t>
  </si>
  <si>
    <t>82375</t>
  </si>
  <si>
    <t>015-25-000120</t>
  </si>
  <si>
    <t>82376</t>
  </si>
  <si>
    <t>015-25-000121</t>
  </si>
  <si>
    <t>82377</t>
  </si>
  <si>
    <t>015-25-000122</t>
  </si>
  <si>
    <t>82378</t>
  </si>
  <si>
    <t>015-25-000123</t>
  </si>
  <si>
    <t>82379</t>
  </si>
  <si>
    <t>015-25-000124</t>
  </si>
  <si>
    <t>82380</t>
  </si>
  <si>
    <t>015-25-000125</t>
  </si>
  <si>
    <t>82381</t>
  </si>
  <si>
    <t>015-25-000126</t>
  </si>
  <si>
    <t>82382</t>
  </si>
  <si>
    <t>015-25-000127</t>
  </si>
  <si>
    <t>82383</t>
  </si>
  <si>
    <t>015-25-000128</t>
  </si>
  <si>
    <t>82384</t>
  </si>
  <si>
    <t>015-25-000129</t>
  </si>
  <si>
    <t>82385</t>
  </si>
  <si>
    <t>015-25-000130</t>
  </si>
  <si>
    <t>82386</t>
  </si>
  <si>
    <t>015-25-000131</t>
  </si>
  <si>
    <t>82387</t>
  </si>
  <si>
    <t>015-25-000132</t>
  </si>
  <si>
    <t>82388</t>
  </si>
  <si>
    <t>015-25-000133</t>
  </si>
  <si>
    <t>82389</t>
  </si>
  <si>
    <t>015-25-000134</t>
  </si>
  <si>
    <t>82390</t>
  </si>
  <si>
    <t>015-25-000135</t>
  </si>
  <si>
    <t>82391</t>
  </si>
  <si>
    <t>015-25-000136</t>
  </si>
  <si>
    <t>82392</t>
  </si>
  <si>
    <t>015-25-000137</t>
  </si>
  <si>
    <t>82393</t>
  </si>
  <si>
    <t>015-25-000138</t>
  </si>
  <si>
    <t>82394</t>
  </si>
  <si>
    <t>015-25-000139</t>
  </si>
  <si>
    <t>82395</t>
  </si>
  <si>
    <t>015-25-000140</t>
  </si>
  <si>
    <t>82396</t>
  </si>
  <si>
    <t>015-25-000141</t>
  </si>
  <si>
    <t>82397</t>
  </si>
  <si>
    <t>015-25-000142</t>
  </si>
  <si>
    <t>82398</t>
  </si>
  <si>
    <t>015-25-000143</t>
  </si>
  <si>
    <t>82399</t>
  </si>
  <si>
    <t>015-25-000144</t>
  </si>
  <si>
    <t>82400</t>
  </si>
  <si>
    <t>015-25-000145</t>
  </si>
  <si>
    <t>82401</t>
  </si>
  <si>
    <t>015-25-000146</t>
  </si>
  <si>
    <t>82402</t>
  </si>
  <si>
    <t>015-25-000147</t>
  </si>
  <si>
    <t>82403</t>
  </si>
  <si>
    <t>015-25-000148</t>
  </si>
  <si>
    <t>82404</t>
  </si>
  <si>
    <t>015-25-000149</t>
  </si>
  <si>
    <t>82405</t>
  </si>
  <si>
    <t>015-25-000150</t>
  </si>
  <si>
    <t>82406</t>
  </si>
  <si>
    <t>015-25-000151</t>
  </si>
  <si>
    <t>82407</t>
  </si>
  <si>
    <t>015-25-000152</t>
  </si>
  <si>
    <t>82408</t>
  </si>
  <si>
    <t>015-25-000153</t>
  </si>
  <si>
    <t>82409</t>
  </si>
  <si>
    <t>015-25-000154</t>
  </si>
  <si>
    <t>82410</t>
  </si>
  <si>
    <t>015-25-000155</t>
  </si>
  <si>
    <t>82411</t>
  </si>
  <si>
    <t>015-25-000156</t>
  </si>
  <si>
    <t>82412</t>
  </si>
  <si>
    <t>015-25-000157</t>
  </si>
  <si>
    <t>82413</t>
  </si>
  <si>
    <t>015-25-000158</t>
  </si>
  <si>
    <t>82414</t>
  </si>
  <si>
    <t>015-25-000159</t>
  </si>
  <si>
    <t>82415</t>
  </si>
  <si>
    <t>015-25-000160</t>
  </si>
  <si>
    <t>82416</t>
  </si>
  <si>
    <t>015-25-000161</t>
  </si>
  <si>
    <t>82417</t>
  </si>
  <si>
    <t>015-25-000162</t>
  </si>
  <si>
    <t>82418</t>
  </si>
  <si>
    <t>015-25-000163</t>
  </si>
  <si>
    <t>82419</t>
  </si>
  <si>
    <t>015-25-000164</t>
  </si>
  <si>
    <t>82420</t>
  </si>
  <si>
    <t>015-25-000165</t>
  </si>
  <si>
    <t>82421</t>
  </si>
  <si>
    <t>015-25-000166</t>
  </si>
  <si>
    <t>82422</t>
  </si>
  <si>
    <t>015-25-000167</t>
  </si>
  <si>
    <t>82423</t>
  </si>
  <si>
    <t>015-25-000168</t>
  </si>
  <si>
    <t>82424</t>
  </si>
  <si>
    <t>015-25-000169</t>
  </si>
  <si>
    <t>82425</t>
  </si>
  <si>
    <t>015-25-000170</t>
  </si>
  <si>
    <t>82426</t>
  </si>
  <si>
    <t>015-25-000171</t>
  </si>
  <si>
    <t>82427</t>
  </si>
  <si>
    <t>015-25-000172</t>
  </si>
  <si>
    <t>82428</t>
  </si>
  <si>
    <t>015-25-000173</t>
  </si>
  <si>
    <t>82429</t>
  </si>
  <si>
    <t>015-25-000174</t>
  </si>
  <si>
    <t>82430</t>
  </si>
  <si>
    <t>015-25-000175</t>
  </si>
  <si>
    <t>82431</t>
  </si>
  <si>
    <t>015-25-000176</t>
  </si>
  <si>
    <t>82432</t>
  </si>
  <si>
    <t>015-25-000177</t>
  </si>
  <si>
    <t>82433</t>
  </si>
  <si>
    <t>015-25-000178</t>
  </si>
  <si>
    <t>82434</t>
  </si>
  <si>
    <t>015-25-000179</t>
  </si>
  <si>
    <t>82435</t>
  </si>
  <si>
    <t>015-25-000180</t>
  </si>
  <si>
    <t>82436</t>
  </si>
  <si>
    <t>015-25-000181</t>
  </si>
  <si>
    <t>82437</t>
  </si>
  <si>
    <t>015-25-000182</t>
  </si>
  <si>
    <t>82438</t>
  </si>
  <si>
    <t>015-25-000183</t>
  </si>
  <si>
    <t>82439</t>
  </si>
  <si>
    <t>015-25-000184</t>
  </si>
  <si>
    <t>82440</t>
  </si>
  <si>
    <t>015-25-000185</t>
  </si>
  <si>
    <t>82441</t>
  </si>
  <si>
    <t>015-25-000186</t>
  </si>
  <si>
    <t>82442</t>
  </si>
  <si>
    <t>015-25-000187</t>
  </si>
  <si>
    <t>82443</t>
  </si>
  <si>
    <t>015-25-000188</t>
  </si>
  <si>
    <t>82444</t>
  </si>
  <si>
    <t>015-25-000189</t>
  </si>
  <si>
    <t>82445</t>
  </si>
  <si>
    <t>015-25-000190</t>
  </si>
  <si>
    <t>82446</t>
  </si>
  <si>
    <t>015-25-000191</t>
  </si>
  <si>
    <t>82447</t>
  </si>
  <si>
    <t>015-25-000192</t>
  </si>
  <si>
    <t>82448</t>
  </si>
  <si>
    <t>015-25-000193</t>
  </si>
  <si>
    <t>82449</t>
  </si>
  <si>
    <t>015-25-000194</t>
  </si>
  <si>
    <t>82450</t>
  </si>
  <si>
    <t>015-25-000195</t>
  </si>
  <si>
    <t>82451</t>
  </si>
  <si>
    <t>015-25-000196</t>
  </si>
  <si>
    <t>82452</t>
  </si>
  <si>
    <t>015-25-000197</t>
  </si>
  <si>
    <t>82453</t>
  </si>
  <si>
    <t>015-25-000198</t>
  </si>
  <si>
    <t>82454</t>
  </si>
  <si>
    <t>015-25-000199</t>
  </si>
  <si>
    <t>82455</t>
  </si>
  <si>
    <t>015-25-000200</t>
  </si>
  <si>
    <t>82456</t>
  </si>
  <si>
    <t>015-25-000201</t>
  </si>
  <si>
    <t>82457</t>
  </si>
  <si>
    <t>015-25-000202</t>
  </si>
  <si>
    <t>82458</t>
  </si>
  <si>
    <t>015-25-000203</t>
  </si>
  <si>
    <t>82459</t>
  </si>
  <si>
    <t>015-25-000204</t>
  </si>
  <si>
    <t>82460</t>
  </si>
  <si>
    <t>015-25-000205</t>
  </si>
  <si>
    <t>82461</t>
  </si>
  <si>
    <t>015-25-000206</t>
  </si>
  <si>
    <t>82462</t>
  </si>
  <si>
    <t>015-25-000207</t>
  </si>
  <si>
    <t>82463</t>
  </si>
  <si>
    <t>015-25-000208</t>
  </si>
  <si>
    <t>82464</t>
  </si>
  <si>
    <t>015-25-000209</t>
  </si>
  <si>
    <t>82465</t>
  </si>
  <si>
    <t>015-25-000210</t>
  </si>
  <si>
    <t>82466</t>
  </si>
  <si>
    <t>015-25-000211</t>
  </si>
  <si>
    <t>82467</t>
  </si>
  <si>
    <t>015-25-000212</t>
  </si>
  <si>
    <t>82468</t>
  </si>
  <si>
    <t>015-25-000213</t>
  </si>
  <si>
    <t>82469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</si>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</sst>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43" fontId="3" fillId="0" borderId="0" xfId="0" applyNumberFormat="1" applyFont="1"/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31">
    <dxf>
      <numFmt numFmtId="35" formatCode="_(* #,##0.00_);_(* \(#,##0.00\);_(* &quot;-&quot;??_);_(@_)"/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 patternType="none">
          <fgColor indexed="64"/>
          <bgColor indexed="65"/>
        </patternFill>
      </fill>
    </dxf>
    <dxf>
      <numFmt numFmtId="164" formatCode="d/m/yyyy"/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Q216" totalsRowCount="1" headerRowDxfId="30" dataDxfId="29" headerRowCellStyle="Comma">
  <autoFilter ref="B2:Q215" xr:uid="{00000000-0009-0000-0100-000001000000}"/>
  <tableColumns count="16">
    <tableColumn id="1" xr3:uid="{00000000-0010-0000-0000-000001000000}" name="מס" dataDxfId="28" totalsRowDxfId="27"/>
    <tableColumn id="20" xr3:uid="{00000000-0010-0000-0000-000014000000}" name="שם קובץ חשבונית" dataDxfId="26" totalsRowDxfId="25"/>
    <tableColumn id="21" xr3:uid="{00000000-0010-0000-0000-000015000000}" name="מספר עמוד" dataDxfId="24" totalsRowDxfId="23"/>
    <tableColumn id="5" xr3:uid="{00000000-0010-0000-0000-000005000000}" name="חשבונית שנוצרה" dataDxfId="22" totalsRowDxfId="21"/>
    <tableColumn id="13" xr3:uid="{00000000-0010-0000-0000-00000D000000}" name="מספר ספק" dataDxfId="20" totalsRowDxfId="19"/>
    <tableColumn id="2" xr3:uid="{00000000-0010-0000-0000-000002000000}" name="תאריך חשבונית" dataDxfId="18" totalsRowDxfId="17"/>
    <tableColumn id="15" xr3:uid="{00000000-0010-0000-0000-00000F000000}" name="מספר חשבונית" dataDxfId="16" totalsRowDxfId="15"/>
    <tableColumn id="16" xr3:uid="{00000000-0010-0000-0000-000010000000}" name="סניף" dataDxfId="14" totalsRowDxfId="13"/>
    <tableColumn id="17" xr3:uid="{00000000-0010-0000-0000-000011000000}" name="פרטים" dataDxfId="12" totalsRowDxfId="11"/>
    <tableColumn id="18" xr3:uid="{00000000-0010-0000-0000-000012000000}" name="מספר הקצאה" dataDxfId="10" totalsRowDxfId="9"/>
    <tableColumn id="12" xr3:uid="{00000000-0010-0000-0000-00000C000000}" name="מקט" dataDxfId="8" totalsRowDxfId="7"/>
    <tableColumn id="3" xr3:uid="{00000000-0010-0000-0000-000003000000}" name="תאור המוצר" dataDxfId="6" totalsRowDxfId="5"/>
    <tableColumn id="4" xr3:uid="{00000000-0010-0000-0000-000004000000}" name="חשבון הוצאות " dataDxfId="4" totalsRowDxfId="3"/>
    <tableColumn id="9" xr3:uid="{00000000-0010-0000-0000-000009000000}" name="סכום לפני מעמ2" totalsRowFunction="sum" dataDxfId="2" totalsRowDxfId="1" dataCellStyle="Comma">
      <calculatedColumnFormula>P3/1.18</calculatedColumnFormula>
    </tableColumn>
    <tableColumn id="10" xr3:uid="{00000000-0010-0000-0000-00000A000000}" name="סכום כולל מע&quot;מ" totalsRowFunction="custom" dataCellStyle="Comma" totalsRowCellStyle="Comma">
      <totalsRowFormula>SUBTOTAL(109,Table1[סכום לפני מעמ2])</totalsRowFormula>
    </tableColumn>
    <tableColumn id="6" xr3:uid="{D6A4B4FC-BF79-47AD-A00B-578EF34F0C6B}" name="Column1" totalsRowFunction="sum" dataDxfId="0">
      <calculatedColumnFormula>Table1[[#This Row],[סכום כולל מע"מ]]-Table1[[#This Row],[סכום לפני מעמ2]]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16"/>
  <sheetViews>
    <sheetView rightToLeft="1" tabSelected="1" topLeftCell="I199" zoomScale="130" zoomScaleNormal="130" workbookViewId="0">
      <selection activeCell="Q216" sqref="Q216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4.625" customWidth="1"/>
    <col min="6" max="6" width="12.125" customWidth="1"/>
    <col min="7" max="7" width="14.625" style="7" customWidth="1"/>
    <col min="8" max="8" width="17.25" style="2" customWidth="1"/>
    <col min="9" max="9" width="8.875" style="2" customWidth="1"/>
    <col min="10" max="11" width="13.75" style="2" customWidth="1"/>
    <col min="12" max="12" width="8" style="2" customWidth="1"/>
    <col min="13" max="13" width="42.875" customWidth="1"/>
    <col min="14" max="14" width="10.625" style="2" customWidth="1"/>
    <col min="15" max="15" width="14.75" style="4" customWidth="1"/>
    <col min="16" max="16" width="14.25" style="8" customWidth="1"/>
    <col min="17" max="17" width="14.125" customWidth="1"/>
  </cols>
  <sheetData>
    <row r="2" spans="2:17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" t="s">
        <v>11</v>
      </c>
      <c r="N2" s="3" t="s">
        <v>12</v>
      </c>
      <c r="O2" s="5" t="s">
        <v>13</v>
      </c>
      <c r="P2" s="8" t="s">
        <v>14</v>
      </c>
      <c r="Q2" s="5" t="s">
        <v>466</v>
      </c>
    </row>
    <row r="3" spans="2:17" x14ac:dyDescent="0.25">
      <c r="B3" s="9">
        <v>1</v>
      </c>
      <c r="C3" s="9" t="s">
        <v>15</v>
      </c>
      <c r="D3" s="9">
        <v>1</v>
      </c>
      <c r="E3" s="9" t="s">
        <v>16</v>
      </c>
      <c r="F3" s="9">
        <v>60475</v>
      </c>
      <c r="G3" s="10">
        <v>45992</v>
      </c>
      <c r="H3" s="9" t="s">
        <v>17</v>
      </c>
      <c r="I3" s="11" t="s">
        <v>18</v>
      </c>
      <c r="J3" s="11" t="s">
        <v>19</v>
      </c>
      <c r="K3" s="9"/>
      <c r="L3" s="11" t="s">
        <v>20</v>
      </c>
      <c r="M3" s="12" t="s">
        <v>21</v>
      </c>
      <c r="N3" s="11" t="s">
        <v>22</v>
      </c>
      <c r="O3" s="8">
        <v>19980</v>
      </c>
      <c r="P3" s="8">
        <v>23576.400000000001</v>
      </c>
      <c r="Q3" s="16">
        <f>Table1[[#This Row],[סכום כולל מע"מ]]-Table1[[#This Row],[סכום לפני מעמ2]]</f>
        <v>3596.4000000000015</v>
      </c>
    </row>
    <row r="4" spans="2:17" x14ac:dyDescent="0.25">
      <c r="B4" s="9">
        <v>2</v>
      </c>
      <c r="C4" s="9" t="s">
        <v>15</v>
      </c>
      <c r="D4" s="9">
        <v>2</v>
      </c>
      <c r="E4" s="9" t="s">
        <v>23</v>
      </c>
      <c r="F4" s="9">
        <v>60475</v>
      </c>
      <c r="G4" s="10">
        <v>45992</v>
      </c>
      <c r="H4" s="9" t="s">
        <v>24</v>
      </c>
      <c r="I4" s="11" t="s">
        <v>18</v>
      </c>
      <c r="J4" s="11" t="s">
        <v>25</v>
      </c>
      <c r="K4" s="9"/>
      <c r="L4" s="11" t="s">
        <v>20</v>
      </c>
      <c r="M4" s="12" t="s">
        <v>26</v>
      </c>
      <c r="N4" s="11" t="s">
        <v>22</v>
      </c>
      <c r="O4" s="8">
        <v>19980</v>
      </c>
      <c r="P4" s="8">
        <v>23576.400000000001</v>
      </c>
      <c r="Q4" s="16">
        <f>Table1[[#This Row],[סכום כולל מע"מ]]-Table1[[#This Row],[סכום לפני מעמ2]]</f>
        <v>3596.4000000000015</v>
      </c>
    </row>
    <row r="5" spans="2:17" x14ac:dyDescent="0.25">
      <c r="B5" s="9">
        <v>3</v>
      </c>
      <c r="C5" s="9" t="s">
        <v>15</v>
      </c>
      <c r="D5" s="9">
        <v>3</v>
      </c>
      <c r="E5" s="9" t="s">
        <v>27</v>
      </c>
      <c r="F5" s="9">
        <v>60475</v>
      </c>
      <c r="G5" s="10">
        <v>45993</v>
      </c>
      <c r="H5" s="9" t="s">
        <v>28</v>
      </c>
      <c r="I5" s="11" t="s">
        <v>18</v>
      </c>
      <c r="J5" s="11" t="s">
        <v>19</v>
      </c>
      <c r="K5" s="9"/>
      <c r="L5" s="11" t="s">
        <v>20</v>
      </c>
      <c r="M5" s="12" t="s">
        <v>21</v>
      </c>
      <c r="N5" s="11" t="s">
        <v>22</v>
      </c>
      <c r="O5" s="8">
        <v>19970</v>
      </c>
      <c r="P5" s="8">
        <v>23564.6</v>
      </c>
      <c r="Q5" s="16">
        <f>Table1[[#This Row],[סכום כולל מע"מ]]-Table1[[#This Row],[סכום לפני מעמ2]]</f>
        <v>3594.5999999999985</v>
      </c>
    </row>
    <row r="6" spans="2:17" x14ac:dyDescent="0.25">
      <c r="B6" s="9">
        <v>4</v>
      </c>
      <c r="C6" s="9" t="s">
        <v>15</v>
      </c>
      <c r="D6" s="9">
        <v>4</v>
      </c>
      <c r="E6" s="9" t="s">
        <v>29</v>
      </c>
      <c r="F6" s="9">
        <v>60475</v>
      </c>
      <c r="G6" s="10">
        <v>45993</v>
      </c>
      <c r="H6" s="11" t="s">
        <v>30</v>
      </c>
      <c r="I6" s="11" t="s">
        <v>18</v>
      </c>
      <c r="J6" s="11" t="s">
        <v>31</v>
      </c>
      <c r="K6" s="11"/>
      <c r="L6" s="11" t="s">
        <v>20</v>
      </c>
      <c r="M6" s="12" t="s">
        <v>32</v>
      </c>
      <c r="N6" s="11" t="s">
        <v>22</v>
      </c>
      <c r="O6" s="4">
        <v>19950</v>
      </c>
      <c r="P6" s="8">
        <v>23541</v>
      </c>
      <c r="Q6" s="16">
        <f>Table1[[#This Row],[סכום כולל מע"מ]]-Table1[[#This Row],[סכום לפני מעמ2]]</f>
        <v>3591</v>
      </c>
    </row>
    <row r="7" spans="2:17" x14ac:dyDescent="0.25">
      <c r="B7" s="9">
        <v>5</v>
      </c>
      <c r="C7" s="9" t="s">
        <v>15</v>
      </c>
      <c r="D7" s="9">
        <v>5</v>
      </c>
      <c r="E7" s="9" t="s">
        <v>33</v>
      </c>
      <c r="F7" s="9">
        <v>60475</v>
      </c>
      <c r="G7" s="10">
        <v>45994</v>
      </c>
      <c r="H7" s="11" t="s">
        <v>34</v>
      </c>
      <c r="I7" s="11" t="s">
        <v>18</v>
      </c>
      <c r="J7" s="11" t="s">
        <v>35</v>
      </c>
      <c r="K7" s="11"/>
      <c r="L7" s="11" t="s">
        <v>20</v>
      </c>
      <c r="M7" s="12" t="s">
        <v>36</v>
      </c>
      <c r="N7" s="11" t="s">
        <v>22</v>
      </c>
      <c r="O7" s="4">
        <v>19960</v>
      </c>
      <c r="P7" s="8">
        <v>23552.799999999999</v>
      </c>
      <c r="Q7" s="16">
        <f>Table1[[#This Row],[סכום כולל מע"מ]]-Table1[[#This Row],[סכום לפני מעמ2]]</f>
        <v>3592.7999999999993</v>
      </c>
    </row>
    <row r="8" spans="2:17" x14ac:dyDescent="0.25">
      <c r="B8" s="9">
        <v>6</v>
      </c>
      <c r="C8" s="9" t="s">
        <v>15</v>
      </c>
      <c r="D8" s="9">
        <v>6</v>
      </c>
      <c r="E8" s="9" t="s">
        <v>37</v>
      </c>
      <c r="F8" s="9">
        <v>60475</v>
      </c>
      <c r="G8" s="10">
        <v>45994</v>
      </c>
      <c r="H8" s="11" t="s">
        <v>38</v>
      </c>
      <c r="I8" s="11" t="s">
        <v>18</v>
      </c>
      <c r="J8" s="11" t="s">
        <v>39</v>
      </c>
      <c r="K8" s="11"/>
      <c r="L8" s="11" t="s">
        <v>20</v>
      </c>
      <c r="M8" s="12" t="s">
        <v>40</v>
      </c>
      <c r="N8" s="11" t="s">
        <v>22</v>
      </c>
      <c r="O8" s="4">
        <v>19970</v>
      </c>
      <c r="P8" s="8">
        <v>23564.6</v>
      </c>
      <c r="Q8" s="16">
        <f>Table1[[#This Row],[סכום כולל מע"מ]]-Table1[[#This Row],[סכום לפני מעמ2]]</f>
        <v>3594.5999999999985</v>
      </c>
    </row>
    <row r="9" spans="2:17" x14ac:dyDescent="0.25">
      <c r="B9" s="9">
        <v>7</v>
      </c>
      <c r="C9" s="9" t="s">
        <v>15</v>
      </c>
      <c r="D9" s="9">
        <v>7</v>
      </c>
      <c r="E9" s="9" t="s">
        <v>41</v>
      </c>
      <c r="F9" s="9">
        <v>60475</v>
      </c>
      <c r="G9" s="10">
        <v>45995</v>
      </c>
      <c r="H9" s="11" t="s">
        <v>42</v>
      </c>
      <c r="I9" s="11" t="s">
        <v>18</v>
      </c>
      <c r="J9" s="11" t="s">
        <v>31</v>
      </c>
      <c r="K9" s="11"/>
      <c r="L9" s="11" t="s">
        <v>20</v>
      </c>
      <c r="M9" s="12" t="s">
        <v>32</v>
      </c>
      <c r="N9" s="11" t="s">
        <v>22</v>
      </c>
      <c r="O9" s="4">
        <v>19960</v>
      </c>
      <c r="P9" s="8">
        <v>23552.799999999999</v>
      </c>
      <c r="Q9" s="16">
        <f>Table1[[#This Row],[סכום כולל מע"מ]]-Table1[[#This Row],[סכום לפני מעמ2]]</f>
        <v>3592.7999999999993</v>
      </c>
    </row>
    <row r="10" spans="2:17" x14ac:dyDescent="0.25">
      <c r="B10" s="9">
        <v>8</v>
      </c>
      <c r="C10" s="9" t="s">
        <v>15</v>
      </c>
      <c r="D10" s="9">
        <v>8</v>
      </c>
      <c r="E10" s="9" t="s">
        <v>43</v>
      </c>
      <c r="F10" s="9">
        <v>60475</v>
      </c>
      <c r="G10" s="10">
        <v>45996</v>
      </c>
      <c r="H10" s="11" t="s">
        <v>44</v>
      </c>
      <c r="I10" s="11" t="s">
        <v>18</v>
      </c>
      <c r="J10" s="11" t="s">
        <v>31</v>
      </c>
      <c r="K10" s="11"/>
      <c r="L10" s="11" t="s">
        <v>20</v>
      </c>
      <c r="M10" s="12" t="s">
        <v>32</v>
      </c>
      <c r="N10" s="11" t="s">
        <v>22</v>
      </c>
      <c r="O10" s="4">
        <v>19950</v>
      </c>
      <c r="P10" s="8">
        <v>23541</v>
      </c>
      <c r="Q10" s="16">
        <f>Table1[[#This Row],[סכום כולל מע"מ]]-Table1[[#This Row],[סכום לפני מעמ2]]</f>
        <v>3591</v>
      </c>
    </row>
    <row r="11" spans="2:17" x14ac:dyDescent="0.25">
      <c r="B11" s="9">
        <v>9</v>
      </c>
      <c r="C11" s="9" t="s">
        <v>15</v>
      </c>
      <c r="D11" s="9">
        <v>9</v>
      </c>
      <c r="E11" s="9" t="s">
        <v>45</v>
      </c>
      <c r="F11" s="9">
        <v>60475</v>
      </c>
      <c r="G11" s="10">
        <v>45998</v>
      </c>
      <c r="H11" s="11" t="s">
        <v>46</v>
      </c>
      <c r="I11" s="11" t="s">
        <v>18</v>
      </c>
      <c r="J11" s="11" t="s">
        <v>19</v>
      </c>
      <c r="K11" s="11"/>
      <c r="L11" s="11" t="s">
        <v>20</v>
      </c>
      <c r="M11" s="12" t="s">
        <v>21</v>
      </c>
      <c r="N11" s="11" t="s">
        <v>22</v>
      </c>
      <c r="O11" s="4">
        <v>19960</v>
      </c>
      <c r="P11" s="8">
        <v>23552.799999999999</v>
      </c>
      <c r="Q11" s="16">
        <f>Table1[[#This Row],[סכום כולל מע"מ]]-Table1[[#This Row],[סכום לפני מעמ2]]</f>
        <v>3592.7999999999993</v>
      </c>
    </row>
    <row r="12" spans="2:17" x14ac:dyDescent="0.25">
      <c r="B12" s="9">
        <v>10</v>
      </c>
      <c r="C12" s="9" t="s">
        <v>15</v>
      </c>
      <c r="D12" s="9">
        <v>10</v>
      </c>
      <c r="E12" s="9" t="s">
        <v>47</v>
      </c>
      <c r="F12" s="9">
        <v>60475</v>
      </c>
      <c r="G12" s="10">
        <v>45998</v>
      </c>
      <c r="H12" s="11" t="s">
        <v>48</v>
      </c>
      <c r="I12" s="11" t="s">
        <v>18</v>
      </c>
      <c r="J12" s="11" t="s">
        <v>39</v>
      </c>
      <c r="K12" s="11"/>
      <c r="L12" s="11" t="s">
        <v>20</v>
      </c>
      <c r="M12" s="12" t="s">
        <v>40</v>
      </c>
      <c r="N12" s="11" t="s">
        <v>22</v>
      </c>
      <c r="O12" s="4">
        <v>19950</v>
      </c>
      <c r="P12" s="8">
        <v>23541</v>
      </c>
      <c r="Q12" s="16">
        <f>Table1[[#This Row],[סכום כולל מע"מ]]-Table1[[#This Row],[סכום לפני מעמ2]]</f>
        <v>3591</v>
      </c>
    </row>
    <row r="13" spans="2:17" x14ac:dyDescent="0.25">
      <c r="B13" s="9">
        <v>11</v>
      </c>
      <c r="C13" s="9" t="s">
        <v>15</v>
      </c>
      <c r="D13" s="9">
        <v>11</v>
      </c>
      <c r="E13" s="9" t="s">
        <v>49</v>
      </c>
      <c r="F13" s="9">
        <v>60475</v>
      </c>
      <c r="G13" s="10">
        <v>45998</v>
      </c>
      <c r="H13" s="11" t="s">
        <v>50</v>
      </c>
      <c r="I13" s="11" t="s">
        <v>18</v>
      </c>
      <c r="J13" s="11" t="s">
        <v>51</v>
      </c>
      <c r="K13" s="11"/>
      <c r="L13" s="11" t="s">
        <v>20</v>
      </c>
      <c r="M13" s="12" t="s">
        <v>51</v>
      </c>
      <c r="N13" s="11" t="s">
        <v>22</v>
      </c>
      <c r="O13" s="4">
        <v>19980</v>
      </c>
      <c r="P13" s="8">
        <v>23576.400000000001</v>
      </c>
      <c r="Q13" s="16">
        <f>Table1[[#This Row],[סכום כולל מע"מ]]-Table1[[#This Row],[סכום לפני מעמ2]]</f>
        <v>3596.4000000000015</v>
      </c>
    </row>
    <row r="14" spans="2:17" x14ac:dyDescent="0.25">
      <c r="B14" s="9">
        <v>12</v>
      </c>
      <c r="C14" s="9" t="s">
        <v>15</v>
      </c>
      <c r="D14" s="9">
        <v>12</v>
      </c>
      <c r="E14" s="9" t="s">
        <v>52</v>
      </c>
      <c r="F14" s="9">
        <v>60475</v>
      </c>
      <c r="G14" s="10">
        <v>45999</v>
      </c>
      <c r="H14" s="11" t="s">
        <v>53</v>
      </c>
      <c r="I14" s="11" t="s">
        <v>18</v>
      </c>
      <c r="J14" s="11" t="s">
        <v>19</v>
      </c>
      <c r="K14" s="11"/>
      <c r="L14" s="11" t="s">
        <v>20</v>
      </c>
      <c r="M14" s="12" t="s">
        <v>21</v>
      </c>
      <c r="N14" s="11" t="s">
        <v>22</v>
      </c>
      <c r="O14" s="4">
        <v>19770</v>
      </c>
      <c r="P14" s="8">
        <v>23328.6</v>
      </c>
      <c r="Q14" s="16">
        <f>Table1[[#This Row],[סכום כולל מע"מ]]-Table1[[#This Row],[סכום לפני מעמ2]]</f>
        <v>3558.5999999999985</v>
      </c>
    </row>
    <row r="15" spans="2:17" x14ac:dyDescent="0.25">
      <c r="B15" s="9">
        <v>13</v>
      </c>
      <c r="C15" s="9" t="s">
        <v>15</v>
      </c>
      <c r="D15" s="9">
        <v>13</v>
      </c>
      <c r="E15" s="9" t="s">
        <v>54</v>
      </c>
      <c r="F15" s="9">
        <v>60475</v>
      </c>
      <c r="G15" s="10">
        <v>45999</v>
      </c>
      <c r="H15" s="11" t="s">
        <v>55</v>
      </c>
      <c r="I15" s="11" t="s">
        <v>18</v>
      </c>
      <c r="J15" s="11" t="s">
        <v>25</v>
      </c>
      <c r="K15" s="11"/>
      <c r="L15" s="11" t="s">
        <v>20</v>
      </c>
      <c r="M15" s="12" t="s">
        <v>26</v>
      </c>
      <c r="N15" s="11" t="s">
        <v>22</v>
      </c>
      <c r="O15" s="4">
        <v>19970</v>
      </c>
      <c r="P15" s="8">
        <v>23564.6</v>
      </c>
      <c r="Q15" s="16">
        <f>Table1[[#This Row],[סכום כולל מע"מ]]-Table1[[#This Row],[סכום לפני מעמ2]]</f>
        <v>3594.5999999999985</v>
      </c>
    </row>
    <row r="16" spans="2:17" x14ac:dyDescent="0.25">
      <c r="B16" s="9">
        <v>14</v>
      </c>
      <c r="C16" s="9" t="s">
        <v>15</v>
      </c>
      <c r="D16" s="9">
        <v>14</v>
      </c>
      <c r="E16" s="9" t="s">
        <v>56</v>
      </c>
      <c r="F16" s="9">
        <v>60475</v>
      </c>
      <c r="G16" s="10">
        <v>45999</v>
      </c>
      <c r="H16" s="11" t="s">
        <v>57</v>
      </c>
      <c r="I16" s="11" t="s">
        <v>18</v>
      </c>
      <c r="J16" s="11" t="s">
        <v>19</v>
      </c>
      <c r="K16" s="11"/>
      <c r="L16" s="11" t="s">
        <v>20</v>
      </c>
      <c r="M16" s="12" t="s">
        <v>21</v>
      </c>
      <c r="N16" s="11" t="s">
        <v>22</v>
      </c>
      <c r="O16" s="4">
        <v>19950</v>
      </c>
      <c r="P16" s="8">
        <v>23541</v>
      </c>
      <c r="Q16" s="16">
        <f>Table1[[#This Row],[סכום כולל מע"מ]]-Table1[[#This Row],[סכום לפני מעמ2]]</f>
        <v>3591</v>
      </c>
    </row>
    <row r="17" spans="2:17" x14ac:dyDescent="0.25">
      <c r="B17" s="9">
        <v>15</v>
      </c>
      <c r="C17" s="9" t="s">
        <v>15</v>
      </c>
      <c r="D17" s="9">
        <v>15</v>
      </c>
      <c r="E17" s="9" t="s">
        <v>58</v>
      </c>
      <c r="F17" s="9">
        <v>60475</v>
      </c>
      <c r="G17" s="10">
        <v>45999</v>
      </c>
      <c r="H17" s="11" t="s">
        <v>59</v>
      </c>
      <c r="I17" s="11" t="s">
        <v>18</v>
      </c>
      <c r="J17" s="11" t="s">
        <v>19</v>
      </c>
      <c r="K17" s="11"/>
      <c r="L17" s="11" t="s">
        <v>20</v>
      </c>
      <c r="M17" s="12" t="s">
        <v>21</v>
      </c>
      <c r="N17" s="11" t="s">
        <v>22</v>
      </c>
      <c r="O17" s="4">
        <v>19970</v>
      </c>
      <c r="P17" s="8">
        <v>23564.6</v>
      </c>
      <c r="Q17" s="16">
        <f>Table1[[#This Row],[סכום כולל מע"מ]]-Table1[[#This Row],[סכום לפני מעמ2]]</f>
        <v>3594.5999999999985</v>
      </c>
    </row>
    <row r="18" spans="2:17" x14ac:dyDescent="0.25">
      <c r="B18" s="9">
        <v>16</v>
      </c>
      <c r="C18" s="9" t="s">
        <v>15</v>
      </c>
      <c r="D18" s="9">
        <v>16</v>
      </c>
      <c r="E18" s="9" t="s">
        <v>60</v>
      </c>
      <c r="F18" s="9">
        <v>60475</v>
      </c>
      <c r="G18" s="10">
        <v>45999</v>
      </c>
      <c r="H18" s="11" t="s">
        <v>61</v>
      </c>
      <c r="I18" s="11" t="s">
        <v>18</v>
      </c>
      <c r="J18" s="11" t="s">
        <v>31</v>
      </c>
      <c r="K18" s="11"/>
      <c r="L18" s="11" t="s">
        <v>20</v>
      </c>
      <c r="M18" s="12" t="s">
        <v>32</v>
      </c>
      <c r="N18" s="11" t="s">
        <v>22</v>
      </c>
      <c r="O18" s="4">
        <v>19960</v>
      </c>
      <c r="P18" s="8">
        <v>23552.799999999999</v>
      </c>
      <c r="Q18" s="16">
        <f>Table1[[#This Row],[סכום כולל מע"מ]]-Table1[[#This Row],[סכום לפני מעמ2]]</f>
        <v>3592.7999999999993</v>
      </c>
    </row>
    <row r="19" spans="2:17" x14ac:dyDescent="0.25">
      <c r="B19" s="9">
        <v>17</v>
      </c>
      <c r="C19" s="9" t="s">
        <v>15</v>
      </c>
      <c r="D19" s="9">
        <v>17</v>
      </c>
      <c r="E19" s="9" t="s">
        <v>62</v>
      </c>
      <c r="F19" s="9">
        <v>60475</v>
      </c>
      <c r="G19" s="10">
        <v>46000</v>
      </c>
      <c r="H19" s="11" t="s">
        <v>63</v>
      </c>
      <c r="I19" s="11" t="s">
        <v>18</v>
      </c>
      <c r="J19" s="11" t="s">
        <v>19</v>
      </c>
      <c r="K19" s="11"/>
      <c r="L19" s="11" t="s">
        <v>20</v>
      </c>
      <c r="M19" s="12" t="s">
        <v>21</v>
      </c>
      <c r="N19" s="11" t="s">
        <v>22</v>
      </c>
      <c r="O19" s="4">
        <v>19970</v>
      </c>
      <c r="P19" s="8">
        <v>23564.6</v>
      </c>
      <c r="Q19" s="16">
        <f>Table1[[#This Row],[סכום כולל מע"מ]]-Table1[[#This Row],[סכום לפני מעמ2]]</f>
        <v>3594.5999999999985</v>
      </c>
    </row>
    <row r="20" spans="2:17" x14ac:dyDescent="0.25">
      <c r="B20" s="9">
        <v>18</v>
      </c>
      <c r="C20" s="9" t="s">
        <v>15</v>
      </c>
      <c r="D20" s="9">
        <v>18</v>
      </c>
      <c r="E20" s="9" t="s">
        <v>64</v>
      </c>
      <c r="F20" s="9">
        <v>60475</v>
      </c>
      <c r="G20" s="10">
        <v>46000</v>
      </c>
      <c r="H20" s="11" t="s">
        <v>65</v>
      </c>
      <c r="I20" s="11" t="s">
        <v>18</v>
      </c>
      <c r="J20" s="11" t="s">
        <v>25</v>
      </c>
      <c r="K20" s="11"/>
      <c r="L20" s="11" t="s">
        <v>20</v>
      </c>
      <c r="M20" s="12" t="s">
        <v>26</v>
      </c>
      <c r="N20" s="11" t="s">
        <v>22</v>
      </c>
      <c r="O20" s="4">
        <v>19970</v>
      </c>
      <c r="P20" s="8">
        <v>23564.6</v>
      </c>
      <c r="Q20" s="16">
        <f>Table1[[#This Row],[סכום כולל מע"מ]]-Table1[[#This Row],[סכום לפני מעמ2]]</f>
        <v>3594.5999999999985</v>
      </c>
    </row>
    <row r="21" spans="2:17" x14ac:dyDescent="0.25">
      <c r="B21" s="9">
        <v>19</v>
      </c>
      <c r="C21" s="9" t="s">
        <v>15</v>
      </c>
      <c r="D21" s="9">
        <v>19</v>
      </c>
      <c r="E21" s="9" t="s">
        <v>66</v>
      </c>
      <c r="F21" s="9">
        <v>60475</v>
      </c>
      <c r="G21" s="10">
        <v>45999</v>
      </c>
      <c r="H21" s="11" t="s">
        <v>67</v>
      </c>
      <c r="I21" s="11" t="s">
        <v>18</v>
      </c>
      <c r="J21" s="11" t="s">
        <v>35</v>
      </c>
      <c r="K21" s="11"/>
      <c r="L21" s="11" t="s">
        <v>20</v>
      </c>
      <c r="M21" s="12" t="s">
        <v>36</v>
      </c>
      <c r="N21" s="11" t="s">
        <v>22</v>
      </c>
      <c r="O21" s="4">
        <v>19960</v>
      </c>
      <c r="P21" s="8">
        <v>23552.799999999999</v>
      </c>
      <c r="Q21" s="16">
        <f>Table1[[#This Row],[סכום כולל מע"מ]]-Table1[[#This Row],[סכום לפני מעמ2]]</f>
        <v>3592.7999999999993</v>
      </c>
    </row>
    <row r="22" spans="2:17" x14ac:dyDescent="0.25">
      <c r="B22" s="9">
        <v>20</v>
      </c>
      <c r="C22" s="9" t="s">
        <v>15</v>
      </c>
      <c r="D22" s="9">
        <v>20</v>
      </c>
      <c r="E22" s="9" t="s">
        <v>68</v>
      </c>
      <c r="F22" s="9">
        <v>60475</v>
      </c>
      <c r="G22" s="10">
        <v>46000</v>
      </c>
      <c r="H22" s="11" t="s">
        <v>69</v>
      </c>
      <c r="I22" s="11" t="s">
        <v>18</v>
      </c>
      <c r="J22" s="11" t="s">
        <v>31</v>
      </c>
      <c r="K22" s="11"/>
      <c r="L22" s="11" t="s">
        <v>20</v>
      </c>
      <c r="M22" s="12" t="s">
        <v>32</v>
      </c>
      <c r="N22" s="11" t="s">
        <v>22</v>
      </c>
      <c r="O22" s="4">
        <v>19980</v>
      </c>
      <c r="P22" s="8">
        <v>23576.400000000001</v>
      </c>
      <c r="Q22" s="16">
        <f>Table1[[#This Row],[סכום כולל מע"מ]]-Table1[[#This Row],[סכום לפני מעמ2]]</f>
        <v>3596.4000000000015</v>
      </c>
    </row>
    <row r="23" spans="2:17" x14ac:dyDescent="0.25">
      <c r="B23" s="9">
        <v>21</v>
      </c>
      <c r="C23" s="9" t="s">
        <v>15</v>
      </c>
      <c r="D23" s="9">
        <v>21</v>
      </c>
      <c r="E23" s="9" t="s">
        <v>70</v>
      </c>
      <c r="F23" s="9">
        <v>60475</v>
      </c>
      <c r="G23" s="10">
        <v>46000</v>
      </c>
      <c r="H23" s="11" t="s">
        <v>71</v>
      </c>
      <c r="I23" s="11" t="s">
        <v>18</v>
      </c>
      <c r="J23" s="11" t="s">
        <v>72</v>
      </c>
      <c r="K23" s="11"/>
      <c r="L23" s="11" t="s">
        <v>20</v>
      </c>
      <c r="M23" s="12" t="s">
        <v>73</v>
      </c>
      <c r="N23" s="11" t="s">
        <v>22</v>
      </c>
      <c r="O23" s="4">
        <v>19970</v>
      </c>
      <c r="P23" s="8">
        <v>23564.6</v>
      </c>
      <c r="Q23" s="16">
        <f>Table1[[#This Row],[סכום כולל מע"מ]]-Table1[[#This Row],[סכום לפני מעמ2]]</f>
        <v>3594.5999999999985</v>
      </c>
    </row>
    <row r="24" spans="2:17" x14ac:dyDescent="0.25">
      <c r="B24" s="9">
        <v>22</v>
      </c>
      <c r="C24" s="9" t="s">
        <v>15</v>
      </c>
      <c r="D24" s="9">
        <v>22</v>
      </c>
      <c r="E24" s="9" t="s">
        <v>74</v>
      </c>
      <c r="F24" s="9">
        <v>60475</v>
      </c>
      <c r="G24" s="10">
        <v>46001</v>
      </c>
      <c r="H24" s="11" t="s">
        <v>75</v>
      </c>
      <c r="I24" s="11" t="s">
        <v>18</v>
      </c>
      <c r="J24" s="11" t="s">
        <v>31</v>
      </c>
      <c r="K24" s="11"/>
      <c r="L24" s="11" t="s">
        <v>20</v>
      </c>
      <c r="M24" s="12" t="s">
        <v>32</v>
      </c>
      <c r="N24" s="11" t="s">
        <v>22</v>
      </c>
      <c r="O24" s="4">
        <v>19970</v>
      </c>
      <c r="P24" s="8">
        <v>23564.6</v>
      </c>
      <c r="Q24" s="16">
        <f>Table1[[#This Row],[סכום כולל מע"מ]]-Table1[[#This Row],[סכום לפני מעמ2]]</f>
        <v>3594.5999999999985</v>
      </c>
    </row>
    <row r="25" spans="2:17" x14ac:dyDescent="0.25">
      <c r="B25" s="9">
        <v>23</v>
      </c>
      <c r="C25" s="9" t="s">
        <v>15</v>
      </c>
      <c r="D25" s="9">
        <v>23</v>
      </c>
      <c r="E25" s="9" t="s">
        <v>76</v>
      </c>
      <c r="F25" s="9">
        <v>60475</v>
      </c>
      <c r="G25" s="10">
        <v>46001</v>
      </c>
      <c r="H25" s="11" t="s">
        <v>77</v>
      </c>
      <c r="I25" s="11" t="s">
        <v>18</v>
      </c>
      <c r="J25" s="11" t="s">
        <v>25</v>
      </c>
      <c r="K25" s="11"/>
      <c r="L25" s="11" t="s">
        <v>20</v>
      </c>
      <c r="M25" s="12" t="s">
        <v>26</v>
      </c>
      <c r="N25" s="11" t="s">
        <v>22</v>
      </c>
      <c r="O25" s="4">
        <v>19950</v>
      </c>
      <c r="P25" s="8">
        <v>23541</v>
      </c>
      <c r="Q25" s="16">
        <f>Table1[[#This Row],[סכום כולל מע"מ]]-Table1[[#This Row],[סכום לפני מעמ2]]</f>
        <v>3591</v>
      </c>
    </row>
    <row r="26" spans="2:17" x14ac:dyDescent="0.25">
      <c r="B26" s="9">
        <v>24</v>
      </c>
      <c r="C26" s="9" t="s">
        <v>15</v>
      </c>
      <c r="D26" s="9">
        <v>24</v>
      </c>
      <c r="E26" s="9" t="s">
        <v>78</v>
      </c>
      <c r="F26" s="9">
        <v>60475</v>
      </c>
      <c r="G26" s="10">
        <v>46001</v>
      </c>
      <c r="H26" s="11" t="s">
        <v>79</v>
      </c>
      <c r="I26" s="11" t="s">
        <v>18</v>
      </c>
      <c r="J26" s="11" t="s">
        <v>31</v>
      </c>
      <c r="K26" s="11"/>
      <c r="L26" s="11" t="s">
        <v>20</v>
      </c>
      <c r="M26" s="12" t="s">
        <v>32</v>
      </c>
      <c r="N26" s="11" t="s">
        <v>22</v>
      </c>
      <c r="O26" s="4">
        <v>19960</v>
      </c>
      <c r="P26" s="8">
        <v>23552.799999999999</v>
      </c>
      <c r="Q26" s="16">
        <f>Table1[[#This Row],[סכום כולל מע"מ]]-Table1[[#This Row],[סכום לפני מעמ2]]</f>
        <v>3592.7999999999993</v>
      </c>
    </row>
    <row r="27" spans="2:17" x14ac:dyDescent="0.25">
      <c r="B27" s="9">
        <v>25</v>
      </c>
      <c r="C27" s="9" t="s">
        <v>15</v>
      </c>
      <c r="D27" s="9">
        <v>25</v>
      </c>
      <c r="E27" s="9" t="s">
        <v>80</v>
      </c>
      <c r="F27" s="9">
        <v>60475</v>
      </c>
      <c r="G27" s="10">
        <v>46001</v>
      </c>
      <c r="H27" s="11" t="s">
        <v>81</v>
      </c>
      <c r="I27" s="11" t="s">
        <v>18</v>
      </c>
      <c r="J27" s="11" t="s">
        <v>39</v>
      </c>
      <c r="K27" s="11"/>
      <c r="L27" s="11" t="s">
        <v>20</v>
      </c>
      <c r="M27" s="12" t="s">
        <v>40</v>
      </c>
      <c r="N27" s="11" t="s">
        <v>22</v>
      </c>
      <c r="O27" s="4">
        <v>19970</v>
      </c>
      <c r="P27" s="8">
        <v>23564.6</v>
      </c>
      <c r="Q27" s="16">
        <f>Table1[[#This Row],[סכום כולל מע"מ]]-Table1[[#This Row],[סכום לפני מעמ2]]</f>
        <v>3594.5999999999985</v>
      </c>
    </row>
    <row r="28" spans="2:17" x14ac:dyDescent="0.25">
      <c r="B28" s="9">
        <v>26</v>
      </c>
      <c r="C28" s="9" t="s">
        <v>15</v>
      </c>
      <c r="D28" s="9">
        <v>26</v>
      </c>
      <c r="E28" s="9" t="s">
        <v>82</v>
      </c>
      <c r="F28" s="9">
        <v>60475</v>
      </c>
      <c r="G28" s="10">
        <v>46002</v>
      </c>
      <c r="H28" s="11" t="s">
        <v>83</v>
      </c>
      <c r="I28" s="11" t="s">
        <v>18</v>
      </c>
      <c r="J28" s="11" t="s">
        <v>31</v>
      </c>
      <c r="K28" s="11"/>
      <c r="L28" s="11" t="s">
        <v>20</v>
      </c>
      <c r="M28" s="12" t="s">
        <v>32</v>
      </c>
      <c r="N28" s="11" t="s">
        <v>22</v>
      </c>
      <c r="O28" s="4">
        <v>19980</v>
      </c>
      <c r="P28" s="8">
        <v>23576.400000000001</v>
      </c>
      <c r="Q28" s="16">
        <f>Table1[[#This Row],[סכום כולל מע"מ]]-Table1[[#This Row],[סכום לפני מעמ2]]</f>
        <v>3596.4000000000015</v>
      </c>
    </row>
    <row r="29" spans="2:17" x14ac:dyDescent="0.25">
      <c r="B29" s="9">
        <v>27</v>
      </c>
      <c r="C29" s="9" t="s">
        <v>15</v>
      </c>
      <c r="D29" s="9">
        <v>27</v>
      </c>
      <c r="E29" s="9" t="s">
        <v>84</v>
      </c>
      <c r="F29" s="9">
        <v>60475</v>
      </c>
      <c r="G29" s="10">
        <v>46002</v>
      </c>
      <c r="H29" s="11" t="s">
        <v>85</v>
      </c>
      <c r="I29" s="11" t="s">
        <v>18</v>
      </c>
      <c r="J29" s="11" t="s">
        <v>39</v>
      </c>
      <c r="K29" s="11"/>
      <c r="L29" s="11" t="s">
        <v>20</v>
      </c>
      <c r="M29" s="12" t="s">
        <v>40</v>
      </c>
      <c r="N29" s="11" t="s">
        <v>22</v>
      </c>
      <c r="O29" s="4">
        <v>19970</v>
      </c>
      <c r="P29" s="8">
        <v>23564.6</v>
      </c>
      <c r="Q29" s="16">
        <f>Table1[[#This Row],[סכום כולל מע"מ]]-Table1[[#This Row],[סכום לפני מעמ2]]</f>
        <v>3594.5999999999985</v>
      </c>
    </row>
    <row r="30" spans="2:17" x14ac:dyDescent="0.25">
      <c r="B30" s="9">
        <v>28</v>
      </c>
      <c r="C30" s="9" t="s">
        <v>15</v>
      </c>
      <c r="D30" s="9">
        <v>28</v>
      </c>
      <c r="E30" s="9" t="s">
        <v>86</v>
      </c>
      <c r="F30" s="9">
        <v>60475</v>
      </c>
      <c r="G30" s="10">
        <v>46002</v>
      </c>
      <c r="H30" s="11" t="s">
        <v>87</v>
      </c>
      <c r="I30" s="11" t="s">
        <v>18</v>
      </c>
      <c r="J30" s="11" t="s">
        <v>39</v>
      </c>
      <c r="K30" s="11"/>
      <c r="L30" s="11" t="s">
        <v>20</v>
      </c>
      <c r="M30" s="12" t="s">
        <v>40</v>
      </c>
      <c r="N30" s="11" t="s">
        <v>22</v>
      </c>
      <c r="O30" s="4">
        <v>19980</v>
      </c>
      <c r="P30" s="8">
        <v>23576.400000000001</v>
      </c>
      <c r="Q30" s="16">
        <f>Table1[[#This Row],[סכום כולל מע"מ]]-Table1[[#This Row],[סכום לפני מעמ2]]</f>
        <v>3596.4000000000015</v>
      </c>
    </row>
    <row r="31" spans="2:17" x14ac:dyDescent="0.25">
      <c r="B31" s="9">
        <v>29</v>
      </c>
      <c r="C31" s="9" t="s">
        <v>15</v>
      </c>
      <c r="D31" s="9">
        <v>29</v>
      </c>
      <c r="E31" s="9" t="s">
        <v>88</v>
      </c>
      <c r="F31" s="9">
        <v>60475</v>
      </c>
      <c r="G31" s="10">
        <v>46002</v>
      </c>
      <c r="H31" s="11" t="s">
        <v>89</v>
      </c>
      <c r="I31" s="11" t="s">
        <v>18</v>
      </c>
      <c r="J31" s="11" t="s">
        <v>35</v>
      </c>
      <c r="K31" s="11"/>
      <c r="L31" s="11" t="s">
        <v>20</v>
      </c>
      <c r="M31" s="12" t="s">
        <v>36</v>
      </c>
      <c r="N31" s="11" t="s">
        <v>22</v>
      </c>
      <c r="O31" s="4">
        <v>19970</v>
      </c>
      <c r="P31" s="8">
        <v>23564.6</v>
      </c>
      <c r="Q31" s="16">
        <f>Table1[[#This Row],[סכום כולל מע"מ]]-Table1[[#This Row],[סכום לפני מעמ2]]</f>
        <v>3594.5999999999985</v>
      </c>
    </row>
    <row r="32" spans="2:17" x14ac:dyDescent="0.25">
      <c r="B32" s="9">
        <v>30</v>
      </c>
      <c r="C32" s="9" t="s">
        <v>15</v>
      </c>
      <c r="D32" s="9">
        <v>30</v>
      </c>
      <c r="E32" s="9" t="s">
        <v>90</v>
      </c>
      <c r="F32" s="9">
        <v>60475</v>
      </c>
      <c r="G32" s="10">
        <v>46005</v>
      </c>
      <c r="H32" s="11" t="s">
        <v>91</v>
      </c>
      <c r="I32" s="11" t="s">
        <v>18</v>
      </c>
      <c r="J32" s="11" t="s">
        <v>25</v>
      </c>
      <c r="K32" s="11"/>
      <c r="L32" s="11" t="s">
        <v>20</v>
      </c>
      <c r="M32" s="12" t="s">
        <v>26</v>
      </c>
      <c r="N32" s="11" t="s">
        <v>22</v>
      </c>
      <c r="O32" s="4">
        <v>19970</v>
      </c>
      <c r="P32" s="8">
        <v>23564.6</v>
      </c>
      <c r="Q32" s="16">
        <f>Table1[[#This Row],[סכום כולל מע"מ]]-Table1[[#This Row],[סכום לפני מעמ2]]</f>
        <v>3594.5999999999985</v>
      </c>
    </row>
    <row r="33" spans="2:17" x14ac:dyDescent="0.25">
      <c r="B33" s="9">
        <v>31</v>
      </c>
      <c r="C33" s="9" t="s">
        <v>15</v>
      </c>
      <c r="D33" s="9">
        <v>31</v>
      </c>
      <c r="E33" s="9" t="s">
        <v>92</v>
      </c>
      <c r="F33" s="9">
        <v>60475</v>
      </c>
      <c r="G33" s="10">
        <v>46005</v>
      </c>
      <c r="H33" s="11" t="s">
        <v>93</v>
      </c>
      <c r="I33" s="11" t="s">
        <v>18</v>
      </c>
      <c r="J33" s="11" t="s">
        <v>39</v>
      </c>
      <c r="K33" s="11"/>
      <c r="L33" s="11" t="s">
        <v>20</v>
      </c>
      <c r="M33" s="12" t="s">
        <v>40</v>
      </c>
      <c r="N33" s="11" t="s">
        <v>22</v>
      </c>
      <c r="O33" s="4">
        <v>19950</v>
      </c>
      <c r="P33" s="8">
        <v>23541</v>
      </c>
      <c r="Q33" s="16">
        <f>Table1[[#This Row],[סכום כולל מע"מ]]-Table1[[#This Row],[סכום לפני מעמ2]]</f>
        <v>3591</v>
      </c>
    </row>
    <row r="34" spans="2:17" x14ac:dyDescent="0.25">
      <c r="B34" s="9">
        <v>32</v>
      </c>
      <c r="C34" s="9" t="s">
        <v>15</v>
      </c>
      <c r="D34" s="9">
        <v>32</v>
      </c>
      <c r="E34" s="9" t="s">
        <v>94</v>
      </c>
      <c r="F34" s="9">
        <v>60475</v>
      </c>
      <c r="G34" s="10">
        <v>46005</v>
      </c>
      <c r="H34" s="11" t="s">
        <v>95</v>
      </c>
      <c r="I34" s="11" t="s">
        <v>18</v>
      </c>
      <c r="J34" s="11" t="s">
        <v>31</v>
      </c>
      <c r="K34" s="11"/>
      <c r="L34" s="11" t="s">
        <v>20</v>
      </c>
      <c r="M34" s="12" t="s">
        <v>32</v>
      </c>
      <c r="N34" s="11" t="s">
        <v>22</v>
      </c>
      <c r="O34" s="4">
        <v>19940</v>
      </c>
      <c r="P34" s="8">
        <v>23529.200000000001</v>
      </c>
      <c r="Q34" s="16">
        <f>Table1[[#This Row],[סכום כולל מע"מ]]-Table1[[#This Row],[סכום לפני מעמ2]]</f>
        <v>3589.2000000000007</v>
      </c>
    </row>
    <row r="35" spans="2:17" x14ac:dyDescent="0.25">
      <c r="B35" s="9">
        <v>33</v>
      </c>
      <c r="C35" s="9" t="s">
        <v>15</v>
      </c>
      <c r="D35" s="9">
        <v>33</v>
      </c>
      <c r="E35" s="9" t="s">
        <v>96</v>
      </c>
      <c r="F35" s="9">
        <v>60475</v>
      </c>
      <c r="G35" s="10">
        <v>46006</v>
      </c>
      <c r="H35" s="11" t="s">
        <v>97</v>
      </c>
      <c r="I35" s="11" t="s">
        <v>18</v>
      </c>
      <c r="J35" s="11" t="s">
        <v>98</v>
      </c>
      <c r="K35" s="11"/>
      <c r="L35" s="11" t="s">
        <v>20</v>
      </c>
      <c r="M35" s="12" t="s">
        <v>99</v>
      </c>
      <c r="N35" s="11" t="s">
        <v>22</v>
      </c>
      <c r="O35" s="4">
        <v>19950</v>
      </c>
      <c r="P35" s="8">
        <v>23541</v>
      </c>
      <c r="Q35" s="16">
        <f>Table1[[#This Row],[סכום כולל מע"מ]]-Table1[[#This Row],[סכום לפני מעמ2]]</f>
        <v>3591</v>
      </c>
    </row>
    <row r="36" spans="2:17" x14ac:dyDescent="0.25">
      <c r="B36" s="9">
        <v>34</v>
      </c>
      <c r="C36" s="9" t="s">
        <v>15</v>
      </c>
      <c r="D36" s="9">
        <v>34</v>
      </c>
      <c r="E36" s="9" t="s">
        <v>100</v>
      </c>
      <c r="F36" s="9">
        <v>60475</v>
      </c>
      <c r="G36" s="10">
        <v>46006</v>
      </c>
      <c r="H36" s="11" t="s">
        <v>101</v>
      </c>
      <c r="I36" s="11" t="s">
        <v>18</v>
      </c>
      <c r="J36" s="11" t="s">
        <v>31</v>
      </c>
      <c r="K36" s="11"/>
      <c r="L36" s="11" t="s">
        <v>20</v>
      </c>
      <c r="M36" s="12" t="s">
        <v>32</v>
      </c>
      <c r="N36" s="11" t="s">
        <v>22</v>
      </c>
      <c r="O36" s="4">
        <v>19980</v>
      </c>
      <c r="P36" s="8">
        <v>23576.400000000001</v>
      </c>
      <c r="Q36" s="16">
        <f>Table1[[#This Row],[סכום כולל מע"מ]]-Table1[[#This Row],[סכום לפני מעמ2]]</f>
        <v>3596.4000000000015</v>
      </c>
    </row>
    <row r="37" spans="2:17" x14ac:dyDescent="0.25">
      <c r="B37" s="9">
        <v>35</v>
      </c>
      <c r="C37" s="9" t="s">
        <v>15</v>
      </c>
      <c r="D37" s="9">
        <v>35</v>
      </c>
      <c r="E37" s="9" t="s">
        <v>102</v>
      </c>
      <c r="F37" s="9">
        <v>60475</v>
      </c>
      <c r="G37" s="10">
        <v>46006</v>
      </c>
      <c r="H37" s="11" t="s">
        <v>103</v>
      </c>
      <c r="I37" s="11" t="s">
        <v>18</v>
      </c>
      <c r="J37" s="11" t="s">
        <v>35</v>
      </c>
      <c r="K37" s="11"/>
      <c r="L37" s="11" t="s">
        <v>20</v>
      </c>
      <c r="M37" s="12" t="s">
        <v>36</v>
      </c>
      <c r="N37" s="11" t="s">
        <v>22</v>
      </c>
      <c r="O37" s="4">
        <v>19980</v>
      </c>
      <c r="P37" s="8">
        <v>23576.400000000001</v>
      </c>
      <c r="Q37" s="16">
        <f>Table1[[#This Row],[סכום כולל מע"מ]]-Table1[[#This Row],[סכום לפני מעמ2]]</f>
        <v>3596.4000000000015</v>
      </c>
    </row>
    <row r="38" spans="2:17" x14ac:dyDescent="0.25">
      <c r="B38" s="9">
        <v>36</v>
      </c>
      <c r="C38" s="9" t="s">
        <v>15</v>
      </c>
      <c r="D38" s="9">
        <v>36</v>
      </c>
      <c r="E38" s="9" t="s">
        <v>104</v>
      </c>
      <c r="F38" s="9">
        <v>60475</v>
      </c>
      <c r="G38" s="10">
        <v>46006</v>
      </c>
      <c r="H38" s="11" t="s">
        <v>105</v>
      </c>
      <c r="I38" s="11" t="s">
        <v>18</v>
      </c>
      <c r="J38" s="11" t="s">
        <v>31</v>
      </c>
      <c r="K38" s="11"/>
      <c r="L38" s="11" t="s">
        <v>20</v>
      </c>
      <c r="M38" s="12" t="s">
        <v>32</v>
      </c>
      <c r="N38" s="11" t="s">
        <v>22</v>
      </c>
      <c r="O38" s="4">
        <v>19970</v>
      </c>
      <c r="P38" s="8">
        <v>23564.6</v>
      </c>
      <c r="Q38" s="16">
        <f>Table1[[#This Row],[סכום כולל מע"מ]]-Table1[[#This Row],[סכום לפני מעמ2]]</f>
        <v>3594.5999999999985</v>
      </c>
    </row>
    <row r="39" spans="2:17" x14ac:dyDescent="0.25">
      <c r="B39" s="9">
        <v>37</v>
      </c>
      <c r="C39" s="9" t="s">
        <v>15</v>
      </c>
      <c r="D39" s="9">
        <v>37</v>
      </c>
      <c r="E39" s="9" t="s">
        <v>106</v>
      </c>
      <c r="F39" s="9">
        <v>60475</v>
      </c>
      <c r="G39" s="10">
        <v>46006</v>
      </c>
      <c r="H39" s="11" t="s">
        <v>107</v>
      </c>
      <c r="I39" s="11" t="s">
        <v>18</v>
      </c>
      <c r="J39" s="11" t="s">
        <v>98</v>
      </c>
      <c r="K39" s="11"/>
      <c r="L39" s="11" t="s">
        <v>20</v>
      </c>
      <c r="M39" s="12" t="s">
        <v>99</v>
      </c>
      <c r="N39" s="11" t="s">
        <v>22</v>
      </c>
      <c r="O39" s="4">
        <v>19980</v>
      </c>
      <c r="P39" s="8">
        <v>23576.400000000001</v>
      </c>
      <c r="Q39" s="16">
        <f>Table1[[#This Row],[סכום כולל מע"מ]]-Table1[[#This Row],[סכום לפני מעמ2]]</f>
        <v>3596.4000000000015</v>
      </c>
    </row>
    <row r="40" spans="2:17" x14ac:dyDescent="0.25">
      <c r="B40" s="9">
        <v>38</v>
      </c>
      <c r="C40" s="9" t="s">
        <v>15</v>
      </c>
      <c r="D40" s="9">
        <v>38</v>
      </c>
      <c r="E40" s="9" t="s">
        <v>108</v>
      </c>
      <c r="F40" s="9">
        <v>60475</v>
      </c>
      <c r="G40" s="10">
        <v>46007</v>
      </c>
      <c r="H40" s="11" t="s">
        <v>109</v>
      </c>
      <c r="I40" s="11" t="s">
        <v>18</v>
      </c>
      <c r="J40" s="11" t="s">
        <v>31</v>
      </c>
      <c r="K40" s="11"/>
      <c r="L40" s="11" t="s">
        <v>20</v>
      </c>
      <c r="M40" s="12" t="s">
        <v>32</v>
      </c>
      <c r="N40" s="11" t="s">
        <v>22</v>
      </c>
      <c r="O40" s="4">
        <v>19970</v>
      </c>
      <c r="P40" s="8">
        <v>23564.6</v>
      </c>
      <c r="Q40" s="16">
        <f>Table1[[#This Row],[סכום כולל מע"מ]]-Table1[[#This Row],[סכום לפני מעמ2]]</f>
        <v>3594.5999999999985</v>
      </c>
    </row>
    <row r="41" spans="2:17" x14ac:dyDescent="0.25">
      <c r="B41" s="9">
        <v>39</v>
      </c>
      <c r="C41" s="9" t="s">
        <v>15</v>
      </c>
      <c r="D41" s="9">
        <v>39</v>
      </c>
      <c r="E41" s="9" t="s">
        <v>110</v>
      </c>
      <c r="F41" s="9">
        <v>60475</v>
      </c>
      <c r="G41" s="10">
        <v>46006</v>
      </c>
      <c r="H41" s="11" t="s">
        <v>111</v>
      </c>
      <c r="I41" s="11" t="s">
        <v>18</v>
      </c>
      <c r="J41" s="11" t="s">
        <v>39</v>
      </c>
      <c r="K41" s="11"/>
      <c r="L41" s="11" t="s">
        <v>20</v>
      </c>
      <c r="M41" s="12" t="s">
        <v>40</v>
      </c>
      <c r="N41" s="11" t="s">
        <v>22</v>
      </c>
      <c r="O41" s="4">
        <v>19970</v>
      </c>
      <c r="P41" s="8">
        <v>23564.6</v>
      </c>
      <c r="Q41" s="16">
        <f>Table1[[#This Row],[סכום כולל מע"מ]]-Table1[[#This Row],[סכום לפני מעמ2]]</f>
        <v>3594.5999999999985</v>
      </c>
    </row>
    <row r="42" spans="2:17" x14ac:dyDescent="0.25">
      <c r="B42" s="9">
        <v>40</v>
      </c>
      <c r="C42" s="9" t="s">
        <v>15</v>
      </c>
      <c r="D42" s="9">
        <v>40</v>
      </c>
      <c r="E42" s="9" t="s">
        <v>112</v>
      </c>
      <c r="F42" s="9">
        <v>60475</v>
      </c>
      <c r="G42" s="10">
        <v>46006</v>
      </c>
      <c r="H42" s="11" t="s">
        <v>113</v>
      </c>
      <c r="I42" s="11" t="s">
        <v>18</v>
      </c>
      <c r="J42" s="11" t="s">
        <v>31</v>
      </c>
      <c r="K42" s="11"/>
      <c r="L42" s="11" t="s">
        <v>20</v>
      </c>
      <c r="M42" s="12" t="s">
        <v>32</v>
      </c>
      <c r="N42" s="11" t="s">
        <v>22</v>
      </c>
      <c r="O42" s="4">
        <v>19970</v>
      </c>
      <c r="P42" s="8">
        <v>23564.6</v>
      </c>
      <c r="Q42" s="16">
        <f>Table1[[#This Row],[סכום כולל מע"מ]]-Table1[[#This Row],[סכום לפני מעמ2]]</f>
        <v>3594.5999999999985</v>
      </c>
    </row>
    <row r="43" spans="2:17" x14ac:dyDescent="0.25">
      <c r="B43" s="9">
        <v>41</v>
      </c>
      <c r="C43" s="9" t="s">
        <v>15</v>
      </c>
      <c r="D43" s="9">
        <v>41</v>
      </c>
      <c r="E43" s="9" t="s">
        <v>114</v>
      </c>
      <c r="F43" s="9">
        <v>60475</v>
      </c>
      <c r="G43" s="10">
        <v>46007</v>
      </c>
      <c r="H43" s="11" t="s">
        <v>115</v>
      </c>
      <c r="I43" s="11" t="s">
        <v>18</v>
      </c>
      <c r="J43" s="11" t="s">
        <v>19</v>
      </c>
      <c r="K43" s="11"/>
      <c r="L43" s="11" t="s">
        <v>20</v>
      </c>
      <c r="M43" s="12" t="s">
        <v>21</v>
      </c>
      <c r="N43" s="11" t="s">
        <v>22</v>
      </c>
      <c r="O43" s="4">
        <v>19950</v>
      </c>
      <c r="P43" s="8">
        <v>23541</v>
      </c>
      <c r="Q43" s="16">
        <f>Table1[[#This Row],[סכום כולל מע"מ]]-Table1[[#This Row],[סכום לפני מעמ2]]</f>
        <v>3591</v>
      </c>
    </row>
    <row r="44" spans="2:17" x14ac:dyDescent="0.25">
      <c r="B44" s="9">
        <v>42</v>
      </c>
      <c r="C44" s="9" t="s">
        <v>15</v>
      </c>
      <c r="D44" s="9">
        <v>42</v>
      </c>
      <c r="E44" s="9" t="s">
        <v>116</v>
      </c>
      <c r="F44" s="9">
        <v>60475</v>
      </c>
      <c r="G44" s="10">
        <v>46007</v>
      </c>
      <c r="H44" s="11" t="s">
        <v>117</v>
      </c>
      <c r="I44" s="11" t="s">
        <v>18</v>
      </c>
      <c r="J44" s="11" t="s">
        <v>39</v>
      </c>
      <c r="K44" s="11"/>
      <c r="L44" s="11" t="s">
        <v>20</v>
      </c>
      <c r="M44" s="12" t="s">
        <v>40</v>
      </c>
      <c r="N44" s="11" t="s">
        <v>22</v>
      </c>
      <c r="O44" s="4">
        <v>19940</v>
      </c>
      <c r="P44" s="8">
        <v>23529.200000000001</v>
      </c>
      <c r="Q44" s="16">
        <f>Table1[[#This Row],[סכום כולל מע"מ]]-Table1[[#This Row],[סכום לפני מעמ2]]</f>
        <v>3589.2000000000007</v>
      </c>
    </row>
    <row r="45" spans="2:17" x14ac:dyDescent="0.25">
      <c r="B45" s="9">
        <v>43</v>
      </c>
      <c r="C45" s="9" t="s">
        <v>15</v>
      </c>
      <c r="D45" s="9">
        <v>43</v>
      </c>
      <c r="E45" s="9" t="s">
        <v>118</v>
      </c>
      <c r="F45" s="9">
        <v>60475</v>
      </c>
      <c r="G45" s="10">
        <v>46007</v>
      </c>
      <c r="H45" s="11" t="s">
        <v>119</v>
      </c>
      <c r="I45" s="11" t="s">
        <v>18</v>
      </c>
      <c r="J45" s="11" t="s">
        <v>31</v>
      </c>
      <c r="K45" s="11"/>
      <c r="L45" s="11" t="s">
        <v>20</v>
      </c>
      <c r="M45" s="12" t="s">
        <v>32</v>
      </c>
      <c r="N45" s="11" t="s">
        <v>22</v>
      </c>
      <c r="O45" s="4">
        <v>19950</v>
      </c>
      <c r="P45" s="8">
        <v>23541</v>
      </c>
      <c r="Q45" s="16">
        <f>Table1[[#This Row],[סכום כולל מע"מ]]-Table1[[#This Row],[סכום לפני מעמ2]]</f>
        <v>3591</v>
      </c>
    </row>
    <row r="46" spans="2:17" x14ac:dyDescent="0.25">
      <c r="B46" s="9">
        <v>44</v>
      </c>
      <c r="C46" s="9" t="s">
        <v>15</v>
      </c>
      <c r="D46" s="9">
        <v>44</v>
      </c>
      <c r="E46" s="9" t="s">
        <v>120</v>
      </c>
      <c r="F46" s="9">
        <v>60475</v>
      </c>
      <c r="G46" s="10">
        <v>46007</v>
      </c>
      <c r="H46" s="11" t="s">
        <v>121</v>
      </c>
      <c r="I46" s="11" t="s">
        <v>18</v>
      </c>
      <c r="J46" s="11" t="s">
        <v>39</v>
      </c>
      <c r="K46" s="11"/>
      <c r="L46" s="11" t="s">
        <v>20</v>
      </c>
      <c r="M46" s="12" t="s">
        <v>40</v>
      </c>
      <c r="N46" s="11" t="s">
        <v>22</v>
      </c>
      <c r="O46" s="4">
        <v>19940</v>
      </c>
      <c r="P46" s="8">
        <v>23529.200000000001</v>
      </c>
      <c r="Q46" s="16">
        <f>Table1[[#This Row],[סכום כולל מע"מ]]-Table1[[#This Row],[סכום לפני מעמ2]]</f>
        <v>3589.2000000000007</v>
      </c>
    </row>
    <row r="47" spans="2:17" x14ac:dyDescent="0.25">
      <c r="B47" s="9">
        <v>45</v>
      </c>
      <c r="C47" s="9" t="s">
        <v>15</v>
      </c>
      <c r="D47" s="9">
        <v>45</v>
      </c>
      <c r="E47" s="9" t="s">
        <v>122</v>
      </c>
      <c r="F47" s="9">
        <v>60475</v>
      </c>
      <c r="G47" s="10">
        <v>46008</v>
      </c>
      <c r="H47" s="11" t="s">
        <v>123</v>
      </c>
      <c r="I47" s="11" t="s">
        <v>18</v>
      </c>
      <c r="J47" s="11" t="s">
        <v>25</v>
      </c>
      <c r="K47" s="11"/>
      <c r="L47" s="11" t="s">
        <v>20</v>
      </c>
      <c r="M47" s="12" t="s">
        <v>26</v>
      </c>
      <c r="N47" s="11" t="s">
        <v>22</v>
      </c>
      <c r="O47" s="4">
        <v>19950</v>
      </c>
      <c r="P47" s="8">
        <v>23541</v>
      </c>
      <c r="Q47" s="16">
        <f>Table1[[#This Row],[סכום כולל מע"מ]]-Table1[[#This Row],[סכום לפני מעמ2]]</f>
        <v>3591</v>
      </c>
    </row>
    <row r="48" spans="2:17" x14ac:dyDescent="0.25">
      <c r="B48" s="9">
        <v>46</v>
      </c>
      <c r="C48" s="9" t="s">
        <v>15</v>
      </c>
      <c r="D48" s="9">
        <v>46</v>
      </c>
      <c r="E48" s="9" t="s">
        <v>124</v>
      </c>
      <c r="F48" s="9">
        <v>60475</v>
      </c>
      <c r="G48" s="10">
        <v>46008</v>
      </c>
      <c r="H48" s="11" t="s">
        <v>125</v>
      </c>
      <c r="I48" s="11" t="s">
        <v>18</v>
      </c>
      <c r="J48" s="11" t="s">
        <v>19</v>
      </c>
      <c r="K48" s="11"/>
      <c r="L48" s="11" t="s">
        <v>20</v>
      </c>
      <c r="M48" s="12" t="s">
        <v>21</v>
      </c>
      <c r="N48" s="11" t="s">
        <v>22</v>
      </c>
      <c r="O48" s="4">
        <v>19950</v>
      </c>
      <c r="P48" s="8">
        <v>23541</v>
      </c>
      <c r="Q48" s="16">
        <f>Table1[[#This Row],[סכום כולל מע"מ]]-Table1[[#This Row],[סכום לפני מעמ2]]</f>
        <v>3591</v>
      </c>
    </row>
    <row r="49" spans="2:17" x14ac:dyDescent="0.25">
      <c r="B49" s="9">
        <v>47</v>
      </c>
      <c r="C49" s="9" t="s">
        <v>15</v>
      </c>
      <c r="D49" s="9">
        <v>47</v>
      </c>
      <c r="E49" s="9" t="s">
        <v>126</v>
      </c>
      <c r="F49" s="9">
        <v>60475</v>
      </c>
      <c r="G49" s="10">
        <v>46008</v>
      </c>
      <c r="H49" s="11" t="s">
        <v>127</v>
      </c>
      <c r="I49" s="11" t="s">
        <v>18</v>
      </c>
      <c r="J49" s="11" t="s">
        <v>31</v>
      </c>
      <c r="K49" s="11"/>
      <c r="L49" s="11" t="s">
        <v>20</v>
      </c>
      <c r="M49" s="12" t="s">
        <v>32</v>
      </c>
      <c r="N49" s="11" t="s">
        <v>22</v>
      </c>
      <c r="O49" s="4">
        <v>19940</v>
      </c>
      <c r="P49" s="8">
        <v>23529.200000000001</v>
      </c>
      <c r="Q49" s="16">
        <f>Table1[[#This Row],[סכום כולל מע"מ]]-Table1[[#This Row],[סכום לפני מעמ2]]</f>
        <v>3589.2000000000007</v>
      </c>
    </row>
    <row r="50" spans="2:17" x14ac:dyDescent="0.25">
      <c r="B50" s="9">
        <v>48</v>
      </c>
      <c r="C50" s="9" t="s">
        <v>15</v>
      </c>
      <c r="D50" s="9">
        <v>48</v>
      </c>
      <c r="E50" s="9" t="s">
        <v>128</v>
      </c>
      <c r="F50" s="9">
        <v>60475</v>
      </c>
      <c r="G50" s="10">
        <v>46007</v>
      </c>
      <c r="H50" s="11" t="s">
        <v>129</v>
      </c>
      <c r="I50" s="11" t="s">
        <v>18</v>
      </c>
      <c r="J50" s="11" t="s">
        <v>39</v>
      </c>
      <c r="K50" s="11"/>
      <c r="L50" s="11" t="s">
        <v>20</v>
      </c>
      <c r="M50" s="12" t="s">
        <v>40</v>
      </c>
      <c r="N50" s="11" t="s">
        <v>22</v>
      </c>
      <c r="O50" s="4">
        <v>19950</v>
      </c>
      <c r="P50" s="8">
        <v>23541</v>
      </c>
      <c r="Q50" s="16">
        <f>Table1[[#This Row],[סכום כולל מע"מ]]-Table1[[#This Row],[סכום לפני מעמ2]]</f>
        <v>3591</v>
      </c>
    </row>
    <row r="51" spans="2:17" x14ac:dyDescent="0.25">
      <c r="B51" s="9">
        <v>49</v>
      </c>
      <c r="C51" s="9" t="s">
        <v>15</v>
      </c>
      <c r="D51" s="9">
        <v>49</v>
      </c>
      <c r="E51" s="9" t="s">
        <v>130</v>
      </c>
      <c r="F51" s="9">
        <v>60475</v>
      </c>
      <c r="G51" s="10">
        <v>46008</v>
      </c>
      <c r="H51" s="11" t="s">
        <v>131</v>
      </c>
      <c r="I51" s="11" t="s">
        <v>18</v>
      </c>
      <c r="J51" s="11" t="s">
        <v>19</v>
      </c>
      <c r="K51" s="11"/>
      <c r="L51" s="11" t="s">
        <v>20</v>
      </c>
      <c r="M51" s="12" t="s">
        <v>21</v>
      </c>
      <c r="N51" s="11" t="s">
        <v>22</v>
      </c>
      <c r="O51" s="4">
        <v>19980</v>
      </c>
      <c r="P51" s="8">
        <v>23576.400000000001</v>
      </c>
      <c r="Q51" s="16">
        <f>Table1[[#This Row],[סכום כולל מע"מ]]-Table1[[#This Row],[סכום לפני מעמ2]]</f>
        <v>3596.4000000000015</v>
      </c>
    </row>
    <row r="52" spans="2:17" x14ac:dyDescent="0.25">
      <c r="B52" s="9">
        <v>50</v>
      </c>
      <c r="C52" s="9" t="s">
        <v>15</v>
      </c>
      <c r="D52" s="9">
        <v>50</v>
      </c>
      <c r="E52" s="9" t="s">
        <v>132</v>
      </c>
      <c r="F52" s="9">
        <v>60475</v>
      </c>
      <c r="G52" s="10">
        <v>46008</v>
      </c>
      <c r="H52" s="11" t="s">
        <v>133</v>
      </c>
      <c r="I52" s="11" t="s">
        <v>18</v>
      </c>
      <c r="J52" s="11" t="s">
        <v>31</v>
      </c>
      <c r="K52" s="11"/>
      <c r="L52" s="11" t="s">
        <v>20</v>
      </c>
      <c r="M52" s="12" t="s">
        <v>32</v>
      </c>
      <c r="N52" s="11" t="s">
        <v>22</v>
      </c>
      <c r="O52" s="4">
        <v>19960</v>
      </c>
      <c r="P52" s="8">
        <v>23552.799999999999</v>
      </c>
      <c r="Q52" s="16">
        <f>Table1[[#This Row],[סכום כולל מע"מ]]-Table1[[#This Row],[סכום לפני מעמ2]]</f>
        <v>3592.7999999999993</v>
      </c>
    </row>
    <row r="53" spans="2:17" x14ac:dyDescent="0.25">
      <c r="B53" s="9">
        <v>51</v>
      </c>
      <c r="C53" s="9" t="s">
        <v>15</v>
      </c>
      <c r="D53" s="9">
        <v>51</v>
      </c>
      <c r="E53" s="9" t="s">
        <v>134</v>
      </c>
      <c r="F53" s="9">
        <v>60475</v>
      </c>
      <c r="G53" s="10">
        <v>46008</v>
      </c>
      <c r="H53" s="11" t="s">
        <v>135</v>
      </c>
      <c r="I53" s="11" t="s">
        <v>18</v>
      </c>
      <c r="J53" s="11" t="s">
        <v>31</v>
      </c>
      <c r="K53" s="11"/>
      <c r="L53" s="11" t="s">
        <v>20</v>
      </c>
      <c r="M53" s="12" t="s">
        <v>32</v>
      </c>
      <c r="N53" s="11" t="s">
        <v>22</v>
      </c>
      <c r="O53" s="4">
        <v>19970</v>
      </c>
      <c r="P53" s="8">
        <v>23564.6</v>
      </c>
      <c r="Q53" s="16">
        <f>Table1[[#This Row],[סכום כולל מע"מ]]-Table1[[#This Row],[סכום לפני מעמ2]]</f>
        <v>3594.5999999999985</v>
      </c>
    </row>
    <row r="54" spans="2:17" x14ac:dyDescent="0.25">
      <c r="B54" s="9">
        <v>52</v>
      </c>
      <c r="C54" s="9" t="s">
        <v>15</v>
      </c>
      <c r="D54" s="9">
        <v>52</v>
      </c>
      <c r="E54" s="9" t="s">
        <v>136</v>
      </c>
      <c r="F54" s="9">
        <v>60475</v>
      </c>
      <c r="G54" s="10">
        <v>46009</v>
      </c>
      <c r="H54" s="11" t="s">
        <v>137</v>
      </c>
      <c r="I54" s="11" t="s">
        <v>18</v>
      </c>
      <c r="J54" s="11" t="s">
        <v>19</v>
      </c>
      <c r="K54" s="11"/>
      <c r="L54" s="11" t="s">
        <v>20</v>
      </c>
      <c r="M54" s="12" t="s">
        <v>21</v>
      </c>
      <c r="N54" s="11" t="s">
        <v>22</v>
      </c>
      <c r="O54" s="4">
        <v>19970</v>
      </c>
      <c r="P54" s="8">
        <v>23564.6</v>
      </c>
      <c r="Q54" s="16">
        <f>Table1[[#This Row],[סכום כולל מע"מ]]-Table1[[#This Row],[סכום לפני מעמ2]]</f>
        <v>3594.5999999999985</v>
      </c>
    </row>
    <row r="55" spans="2:17" x14ac:dyDescent="0.25">
      <c r="B55" s="9">
        <v>53</v>
      </c>
      <c r="C55" s="9" t="s">
        <v>15</v>
      </c>
      <c r="D55" s="9">
        <v>53</v>
      </c>
      <c r="E55" s="9" t="s">
        <v>138</v>
      </c>
      <c r="F55" s="9">
        <v>60475</v>
      </c>
      <c r="G55" s="10">
        <v>46009</v>
      </c>
      <c r="H55" s="11" t="s">
        <v>139</v>
      </c>
      <c r="I55" s="11" t="s">
        <v>18</v>
      </c>
      <c r="J55" s="11" t="s">
        <v>35</v>
      </c>
      <c r="K55" s="11"/>
      <c r="L55" s="11" t="s">
        <v>20</v>
      </c>
      <c r="M55" s="12" t="s">
        <v>36</v>
      </c>
      <c r="N55" s="11" t="s">
        <v>22</v>
      </c>
      <c r="O55" s="4">
        <v>19970</v>
      </c>
      <c r="P55" s="8">
        <v>23564.6</v>
      </c>
      <c r="Q55" s="16">
        <f>Table1[[#This Row],[סכום כולל מע"מ]]-Table1[[#This Row],[סכום לפני מעמ2]]</f>
        <v>3594.5999999999985</v>
      </c>
    </row>
    <row r="56" spans="2:17" x14ac:dyDescent="0.25">
      <c r="B56" s="9">
        <v>54</v>
      </c>
      <c r="C56" s="9" t="s">
        <v>15</v>
      </c>
      <c r="D56" s="9">
        <v>54</v>
      </c>
      <c r="E56" s="9" t="s">
        <v>140</v>
      </c>
      <c r="F56" s="9">
        <v>60475</v>
      </c>
      <c r="G56" s="10">
        <v>46009</v>
      </c>
      <c r="H56" s="11" t="s">
        <v>141</v>
      </c>
      <c r="I56" s="11" t="s">
        <v>18</v>
      </c>
      <c r="J56" s="11" t="s">
        <v>31</v>
      </c>
      <c r="K56" s="11"/>
      <c r="L56" s="11" t="s">
        <v>20</v>
      </c>
      <c r="M56" s="12" t="s">
        <v>32</v>
      </c>
      <c r="N56" s="11" t="s">
        <v>22</v>
      </c>
      <c r="O56" s="4">
        <v>19960</v>
      </c>
      <c r="P56" s="8">
        <v>23552.799999999999</v>
      </c>
      <c r="Q56" s="16">
        <f>Table1[[#This Row],[סכום כולל מע"מ]]-Table1[[#This Row],[סכום לפני מעמ2]]</f>
        <v>3592.7999999999993</v>
      </c>
    </row>
    <row r="57" spans="2:17" x14ac:dyDescent="0.25">
      <c r="B57" s="9">
        <v>55</v>
      </c>
      <c r="C57" s="9" t="s">
        <v>15</v>
      </c>
      <c r="D57" s="9">
        <v>55</v>
      </c>
      <c r="E57" s="9" t="s">
        <v>142</v>
      </c>
      <c r="F57" s="9">
        <v>60475</v>
      </c>
      <c r="G57" s="10">
        <v>46012</v>
      </c>
      <c r="H57" s="11" t="s">
        <v>143</v>
      </c>
      <c r="I57" s="11" t="s">
        <v>18</v>
      </c>
      <c r="J57" s="11" t="s">
        <v>31</v>
      </c>
      <c r="K57" s="11"/>
      <c r="L57" s="11" t="s">
        <v>20</v>
      </c>
      <c r="M57" s="12" t="s">
        <v>32</v>
      </c>
      <c r="N57" s="11" t="s">
        <v>22</v>
      </c>
      <c r="O57" s="4">
        <v>19980</v>
      </c>
      <c r="P57" s="8">
        <v>23576.400000000001</v>
      </c>
      <c r="Q57" s="16">
        <f>Table1[[#This Row],[סכום כולל מע"מ]]-Table1[[#This Row],[סכום לפני מעמ2]]</f>
        <v>3596.4000000000015</v>
      </c>
    </row>
    <row r="58" spans="2:17" x14ac:dyDescent="0.25">
      <c r="B58" s="9">
        <v>56</v>
      </c>
      <c r="C58" s="9" t="s">
        <v>15</v>
      </c>
      <c r="D58" s="9">
        <v>56</v>
      </c>
      <c r="E58" s="9" t="s">
        <v>144</v>
      </c>
      <c r="F58" s="9">
        <v>60475</v>
      </c>
      <c r="G58" s="10">
        <v>46012</v>
      </c>
      <c r="H58" s="11" t="s">
        <v>145</v>
      </c>
      <c r="I58" s="11" t="s">
        <v>18</v>
      </c>
      <c r="J58" s="11" t="s">
        <v>146</v>
      </c>
      <c r="K58" s="11"/>
      <c r="L58" s="11" t="s">
        <v>20</v>
      </c>
      <c r="M58" s="12" t="s">
        <v>147</v>
      </c>
      <c r="N58" s="11" t="s">
        <v>22</v>
      </c>
      <c r="O58" s="4">
        <v>19950</v>
      </c>
      <c r="P58" s="8">
        <v>23541</v>
      </c>
      <c r="Q58" s="16">
        <f>Table1[[#This Row],[סכום כולל מע"מ]]-Table1[[#This Row],[סכום לפני מעמ2]]</f>
        <v>3591</v>
      </c>
    </row>
    <row r="59" spans="2:17" x14ac:dyDescent="0.25">
      <c r="B59" s="9">
        <v>57</v>
      </c>
      <c r="C59" s="9" t="s">
        <v>15</v>
      </c>
      <c r="D59" s="9">
        <v>57</v>
      </c>
      <c r="E59" s="9" t="s">
        <v>148</v>
      </c>
      <c r="F59" s="9">
        <v>60475</v>
      </c>
      <c r="G59" s="10">
        <v>46012</v>
      </c>
      <c r="H59" s="11" t="s">
        <v>149</v>
      </c>
      <c r="I59" s="11" t="s">
        <v>18</v>
      </c>
      <c r="J59" s="11" t="s">
        <v>31</v>
      </c>
      <c r="K59" s="11"/>
      <c r="L59" s="11" t="s">
        <v>20</v>
      </c>
      <c r="M59" s="12" t="s">
        <v>32</v>
      </c>
      <c r="N59" s="11" t="s">
        <v>22</v>
      </c>
      <c r="O59" s="4">
        <v>19970</v>
      </c>
      <c r="P59" s="8">
        <v>23564.6</v>
      </c>
      <c r="Q59" s="16">
        <f>Table1[[#This Row],[סכום כולל מע"מ]]-Table1[[#This Row],[סכום לפני מעמ2]]</f>
        <v>3594.5999999999985</v>
      </c>
    </row>
    <row r="60" spans="2:17" x14ac:dyDescent="0.25">
      <c r="B60" s="9">
        <v>58</v>
      </c>
      <c r="C60" s="9" t="s">
        <v>15</v>
      </c>
      <c r="D60" s="9">
        <v>58</v>
      </c>
      <c r="E60" s="9" t="s">
        <v>150</v>
      </c>
      <c r="F60" s="9">
        <v>60475</v>
      </c>
      <c r="G60" s="10">
        <v>46013</v>
      </c>
      <c r="H60" s="11" t="s">
        <v>151</v>
      </c>
      <c r="I60" s="11" t="s">
        <v>18</v>
      </c>
      <c r="J60" s="11" t="s">
        <v>31</v>
      </c>
      <c r="K60" s="11"/>
      <c r="L60" s="11" t="s">
        <v>20</v>
      </c>
      <c r="M60" s="12" t="s">
        <v>32</v>
      </c>
      <c r="N60" s="11" t="s">
        <v>22</v>
      </c>
      <c r="O60" s="4">
        <v>19950</v>
      </c>
      <c r="P60" s="8">
        <v>23541</v>
      </c>
      <c r="Q60" s="16">
        <f>Table1[[#This Row],[סכום כולל מע"מ]]-Table1[[#This Row],[סכום לפני מעמ2]]</f>
        <v>3591</v>
      </c>
    </row>
    <row r="61" spans="2:17" x14ac:dyDescent="0.25">
      <c r="B61" s="9">
        <v>59</v>
      </c>
      <c r="C61" s="9" t="s">
        <v>15</v>
      </c>
      <c r="D61" s="9">
        <v>59</v>
      </c>
      <c r="E61" s="9" t="s">
        <v>152</v>
      </c>
      <c r="F61" s="9">
        <v>60475</v>
      </c>
      <c r="G61" s="10">
        <v>46013</v>
      </c>
      <c r="H61" s="11" t="s">
        <v>153</v>
      </c>
      <c r="I61" s="11" t="s">
        <v>18</v>
      </c>
      <c r="J61" s="11" t="s">
        <v>31</v>
      </c>
      <c r="K61" s="11"/>
      <c r="L61" s="11" t="s">
        <v>20</v>
      </c>
      <c r="M61" s="12" t="s">
        <v>32</v>
      </c>
      <c r="N61" s="11" t="s">
        <v>22</v>
      </c>
      <c r="O61" s="4">
        <v>19980</v>
      </c>
      <c r="P61" s="8">
        <v>23576.400000000001</v>
      </c>
      <c r="Q61" s="16">
        <f>Table1[[#This Row],[סכום כולל מע"מ]]-Table1[[#This Row],[סכום לפני מעמ2]]</f>
        <v>3596.4000000000015</v>
      </c>
    </row>
    <row r="62" spans="2:17" x14ac:dyDescent="0.25">
      <c r="B62" s="9">
        <v>60</v>
      </c>
      <c r="C62" s="9" t="s">
        <v>15</v>
      </c>
      <c r="D62" s="9">
        <v>60</v>
      </c>
      <c r="E62" s="9" t="s">
        <v>154</v>
      </c>
      <c r="F62" s="9">
        <v>60475</v>
      </c>
      <c r="G62" s="10">
        <v>46013</v>
      </c>
      <c r="H62" s="11" t="s">
        <v>155</v>
      </c>
      <c r="I62" s="11" t="s">
        <v>18</v>
      </c>
      <c r="J62" s="11" t="s">
        <v>31</v>
      </c>
      <c r="K62" s="11"/>
      <c r="L62" s="11" t="s">
        <v>20</v>
      </c>
      <c r="M62" s="12" t="s">
        <v>32</v>
      </c>
      <c r="N62" s="11" t="s">
        <v>22</v>
      </c>
      <c r="O62" s="4">
        <v>19550</v>
      </c>
      <c r="P62" s="8">
        <v>23069</v>
      </c>
      <c r="Q62" s="16">
        <f>Table1[[#This Row],[סכום כולל מע"מ]]-Table1[[#This Row],[סכום לפני מעמ2]]</f>
        <v>3519</v>
      </c>
    </row>
    <row r="63" spans="2:17" x14ac:dyDescent="0.25">
      <c r="B63" s="9">
        <v>61</v>
      </c>
      <c r="C63" s="9" t="s">
        <v>15</v>
      </c>
      <c r="D63" s="9">
        <v>61</v>
      </c>
      <c r="E63" s="9" t="s">
        <v>156</v>
      </c>
      <c r="F63" s="9">
        <v>60475</v>
      </c>
      <c r="G63" s="10">
        <v>46013</v>
      </c>
      <c r="H63" s="11" t="s">
        <v>157</v>
      </c>
      <c r="I63" s="11" t="s">
        <v>18</v>
      </c>
      <c r="J63" s="11" t="s">
        <v>31</v>
      </c>
      <c r="K63" s="11"/>
      <c r="L63" s="11" t="s">
        <v>20</v>
      </c>
      <c r="M63" s="12" t="s">
        <v>32</v>
      </c>
      <c r="N63" s="11" t="s">
        <v>22</v>
      </c>
      <c r="O63" s="4">
        <v>19980</v>
      </c>
      <c r="P63" s="8">
        <v>23576.400000000001</v>
      </c>
      <c r="Q63" s="16">
        <f>Table1[[#This Row],[סכום כולל מע"מ]]-Table1[[#This Row],[סכום לפני מעמ2]]</f>
        <v>3596.4000000000015</v>
      </c>
    </row>
    <row r="64" spans="2:17" x14ac:dyDescent="0.25">
      <c r="B64" s="9">
        <v>62</v>
      </c>
      <c r="C64" s="9" t="s">
        <v>15</v>
      </c>
      <c r="D64" s="9">
        <v>62</v>
      </c>
      <c r="E64" s="9" t="s">
        <v>158</v>
      </c>
      <c r="F64" s="9">
        <v>60475</v>
      </c>
      <c r="G64" s="10">
        <v>46014</v>
      </c>
      <c r="H64" s="11" t="s">
        <v>159</v>
      </c>
      <c r="I64" s="11" t="s">
        <v>18</v>
      </c>
      <c r="J64" s="11" t="s">
        <v>19</v>
      </c>
      <c r="K64" s="11"/>
      <c r="L64" s="11" t="s">
        <v>20</v>
      </c>
      <c r="M64" s="12" t="s">
        <v>21</v>
      </c>
      <c r="N64" s="11" t="s">
        <v>22</v>
      </c>
      <c r="O64" s="4">
        <v>19970</v>
      </c>
      <c r="P64" s="8">
        <v>23564.6</v>
      </c>
      <c r="Q64" s="16">
        <f>Table1[[#This Row],[סכום כולל מע"מ]]-Table1[[#This Row],[סכום לפני מעמ2]]</f>
        <v>3594.5999999999985</v>
      </c>
    </row>
    <row r="65" spans="2:17" x14ac:dyDescent="0.25">
      <c r="B65" s="9">
        <v>63</v>
      </c>
      <c r="C65" s="9" t="s">
        <v>15</v>
      </c>
      <c r="D65" s="9">
        <v>63</v>
      </c>
      <c r="E65" s="9" t="s">
        <v>160</v>
      </c>
      <c r="F65" s="9">
        <v>60475</v>
      </c>
      <c r="G65" s="10">
        <v>46014</v>
      </c>
      <c r="H65" s="11" t="s">
        <v>161</v>
      </c>
      <c r="I65" s="11" t="s">
        <v>18</v>
      </c>
      <c r="J65" s="11" t="s">
        <v>39</v>
      </c>
      <c r="K65" s="11"/>
      <c r="L65" s="11" t="s">
        <v>20</v>
      </c>
      <c r="M65" s="12" t="s">
        <v>40</v>
      </c>
      <c r="N65" s="11" t="s">
        <v>22</v>
      </c>
      <c r="O65" s="4">
        <v>19970</v>
      </c>
      <c r="P65" s="8">
        <v>23564.6</v>
      </c>
      <c r="Q65" s="16">
        <f>Table1[[#This Row],[סכום כולל מע"מ]]-Table1[[#This Row],[סכום לפני מעמ2]]</f>
        <v>3594.5999999999985</v>
      </c>
    </row>
    <row r="66" spans="2:17" x14ac:dyDescent="0.25">
      <c r="B66" s="9">
        <v>64</v>
      </c>
      <c r="C66" s="9" t="s">
        <v>15</v>
      </c>
      <c r="D66" s="9">
        <v>64</v>
      </c>
      <c r="E66" s="9" t="s">
        <v>162</v>
      </c>
      <c r="F66" s="9">
        <v>60475</v>
      </c>
      <c r="G66" s="10">
        <v>46014</v>
      </c>
      <c r="H66" s="11" t="s">
        <v>163</v>
      </c>
      <c r="I66" s="11" t="s">
        <v>18</v>
      </c>
      <c r="J66" s="11" t="s">
        <v>31</v>
      </c>
      <c r="K66" s="11"/>
      <c r="L66" s="11" t="s">
        <v>20</v>
      </c>
      <c r="M66" s="12" t="s">
        <v>32</v>
      </c>
      <c r="N66" s="11" t="s">
        <v>22</v>
      </c>
      <c r="O66" s="4">
        <v>19950</v>
      </c>
      <c r="P66" s="8">
        <v>23541</v>
      </c>
      <c r="Q66" s="16">
        <f>Table1[[#This Row],[סכום כולל מע"מ]]-Table1[[#This Row],[סכום לפני מעמ2]]</f>
        <v>3591</v>
      </c>
    </row>
    <row r="67" spans="2:17" x14ac:dyDescent="0.25">
      <c r="B67" s="9">
        <v>65</v>
      </c>
      <c r="C67" s="9" t="s">
        <v>15</v>
      </c>
      <c r="D67" s="9">
        <v>65</v>
      </c>
      <c r="E67" s="9" t="s">
        <v>164</v>
      </c>
      <c r="F67" s="9">
        <v>60475</v>
      </c>
      <c r="G67" s="10">
        <v>46014</v>
      </c>
      <c r="H67" s="11" t="s">
        <v>165</v>
      </c>
      <c r="I67" s="11" t="s">
        <v>18</v>
      </c>
      <c r="J67" s="11" t="s">
        <v>19</v>
      </c>
      <c r="K67" s="11"/>
      <c r="L67" s="11" t="s">
        <v>20</v>
      </c>
      <c r="M67" s="12" t="s">
        <v>21</v>
      </c>
      <c r="N67" s="11" t="s">
        <v>22</v>
      </c>
      <c r="O67" s="4">
        <v>19960</v>
      </c>
      <c r="P67" s="8">
        <v>23552.799999999999</v>
      </c>
      <c r="Q67" s="16">
        <f>Table1[[#This Row],[סכום כולל מע"מ]]-Table1[[#This Row],[סכום לפני מעמ2]]</f>
        <v>3592.7999999999993</v>
      </c>
    </row>
    <row r="68" spans="2:17" x14ac:dyDescent="0.25">
      <c r="B68" s="9">
        <v>66</v>
      </c>
      <c r="C68" s="9" t="s">
        <v>15</v>
      </c>
      <c r="D68" s="9">
        <v>66</v>
      </c>
      <c r="E68" s="9" t="s">
        <v>166</v>
      </c>
      <c r="F68" s="9">
        <v>60475</v>
      </c>
      <c r="G68" s="10">
        <v>46014</v>
      </c>
      <c r="H68" s="11" t="s">
        <v>167</v>
      </c>
      <c r="I68" s="11" t="s">
        <v>18</v>
      </c>
      <c r="J68" s="11" t="s">
        <v>31</v>
      </c>
      <c r="K68" s="11"/>
      <c r="L68" s="11" t="s">
        <v>20</v>
      </c>
      <c r="M68" s="12" t="s">
        <v>32</v>
      </c>
      <c r="N68" s="11" t="s">
        <v>22</v>
      </c>
      <c r="O68" s="4">
        <v>19950</v>
      </c>
      <c r="P68" s="8">
        <v>23541</v>
      </c>
      <c r="Q68" s="16">
        <f>Table1[[#This Row],[סכום כולל מע"מ]]-Table1[[#This Row],[סכום לפני מעמ2]]</f>
        <v>3591</v>
      </c>
    </row>
    <row r="69" spans="2:17" x14ac:dyDescent="0.25">
      <c r="B69" s="9">
        <v>67</v>
      </c>
      <c r="C69" s="9" t="s">
        <v>15</v>
      </c>
      <c r="D69" s="9">
        <v>67</v>
      </c>
      <c r="E69" s="9" t="s">
        <v>168</v>
      </c>
      <c r="F69" s="9">
        <v>60475</v>
      </c>
      <c r="G69" s="10">
        <v>46015</v>
      </c>
      <c r="H69" s="11" t="s">
        <v>169</v>
      </c>
      <c r="I69" s="11" t="s">
        <v>18</v>
      </c>
      <c r="J69" s="11" t="s">
        <v>31</v>
      </c>
      <c r="K69" s="11"/>
      <c r="L69" s="11" t="s">
        <v>20</v>
      </c>
      <c r="M69" s="12" t="s">
        <v>32</v>
      </c>
      <c r="N69" s="11" t="s">
        <v>22</v>
      </c>
      <c r="O69" s="4">
        <v>19970</v>
      </c>
      <c r="P69" s="8">
        <v>23564.6</v>
      </c>
      <c r="Q69" s="16">
        <f>Table1[[#This Row],[סכום כולל מע"מ]]-Table1[[#This Row],[סכום לפני מעמ2]]</f>
        <v>3594.5999999999985</v>
      </c>
    </row>
    <row r="70" spans="2:17" x14ac:dyDescent="0.25">
      <c r="B70" s="9">
        <v>68</v>
      </c>
      <c r="C70" s="9" t="s">
        <v>15</v>
      </c>
      <c r="D70" s="9">
        <v>68</v>
      </c>
      <c r="E70" s="9" t="s">
        <v>170</v>
      </c>
      <c r="F70" s="9">
        <v>60475</v>
      </c>
      <c r="G70" s="10">
        <v>46015</v>
      </c>
      <c r="H70" s="11" t="s">
        <v>171</v>
      </c>
      <c r="I70" s="11" t="s">
        <v>18</v>
      </c>
      <c r="J70" s="11" t="s">
        <v>31</v>
      </c>
      <c r="K70" s="11"/>
      <c r="L70" s="11" t="s">
        <v>20</v>
      </c>
      <c r="M70" s="12" t="s">
        <v>32</v>
      </c>
      <c r="N70" s="11" t="s">
        <v>22</v>
      </c>
      <c r="O70" s="4">
        <v>19970</v>
      </c>
      <c r="P70" s="8">
        <v>23564.6</v>
      </c>
      <c r="Q70" s="16">
        <f>Table1[[#This Row],[סכום כולל מע"מ]]-Table1[[#This Row],[סכום לפני מעמ2]]</f>
        <v>3594.5999999999985</v>
      </c>
    </row>
    <row r="71" spans="2:17" x14ac:dyDescent="0.25">
      <c r="B71" s="9">
        <v>69</v>
      </c>
      <c r="C71" s="9" t="s">
        <v>15</v>
      </c>
      <c r="D71" s="9">
        <v>69</v>
      </c>
      <c r="E71" s="9" t="s">
        <v>172</v>
      </c>
      <c r="F71" s="9">
        <v>60475</v>
      </c>
      <c r="G71" s="10">
        <v>46015</v>
      </c>
      <c r="H71" s="11" t="s">
        <v>173</v>
      </c>
      <c r="I71" s="11" t="s">
        <v>18</v>
      </c>
      <c r="J71" s="11" t="s">
        <v>19</v>
      </c>
      <c r="K71" s="11"/>
      <c r="L71" s="11" t="s">
        <v>20</v>
      </c>
      <c r="M71" s="12" t="s">
        <v>21</v>
      </c>
      <c r="N71" s="11" t="s">
        <v>22</v>
      </c>
      <c r="O71" s="4">
        <v>19970</v>
      </c>
      <c r="P71" s="8">
        <v>23564.6</v>
      </c>
      <c r="Q71" s="16">
        <f>Table1[[#This Row],[סכום כולל מע"מ]]-Table1[[#This Row],[סכום לפני מעמ2]]</f>
        <v>3594.5999999999985</v>
      </c>
    </row>
    <row r="72" spans="2:17" x14ac:dyDescent="0.25">
      <c r="B72" s="9">
        <v>70</v>
      </c>
      <c r="C72" s="9" t="s">
        <v>15</v>
      </c>
      <c r="D72" s="9">
        <v>70</v>
      </c>
      <c r="E72" s="9" t="s">
        <v>174</v>
      </c>
      <c r="F72" s="9">
        <v>60475</v>
      </c>
      <c r="G72" s="10">
        <v>46016</v>
      </c>
      <c r="H72" s="11" t="s">
        <v>175</v>
      </c>
      <c r="I72" s="11" t="s">
        <v>18</v>
      </c>
      <c r="J72" s="11" t="s">
        <v>176</v>
      </c>
      <c r="K72" s="11"/>
      <c r="L72" s="11" t="s">
        <v>20</v>
      </c>
      <c r="M72" s="12" t="s">
        <v>177</v>
      </c>
      <c r="N72" s="11" t="s">
        <v>22</v>
      </c>
      <c r="O72" s="4">
        <v>19970</v>
      </c>
      <c r="P72" s="8">
        <v>23564.6</v>
      </c>
      <c r="Q72" s="16">
        <f>Table1[[#This Row],[סכום כולל מע"מ]]-Table1[[#This Row],[סכום לפני מעמ2]]</f>
        <v>3594.5999999999985</v>
      </c>
    </row>
    <row r="73" spans="2:17" x14ac:dyDescent="0.25">
      <c r="B73" s="9">
        <v>71</v>
      </c>
      <c r="C73" s="9" t="s">
        <v>15</v>
      </c>
      <c r="D73" s="9">
        <v>71</v>
      </c>
      <c r="E73" s="9" t="s">
        <v>178</v>
      </c>
      <c r="F73" s="9">
        <v>60475</v>
      </c>
      <c r="G73" s="10">
        <v>46016</v>
      </c>
      <c r="H73" s="11" t="s">
        <v>179</v>
      </c>
      <c r="I73" s="11" t="s">
        <v>18</v>
      </c>
      <c r="J73" s="11" t="s">
        <v>19</v>
      </c>
      <c r="K73" s="11"/>
      <c r="L73" s="11" t="s">
        <v>20</v>
      </c>
      <c r="M73" s="12" t="s">
        <v>21</v>
      </c>
      <c r="N73" s="11" t="s">
        <v>22</v>
      </c>
      <c r="O73" s="4">
        <v>19980</v>
      </c>
      <c r="P73" s="8">
        <v>23576.400000000001</v>
      </c>
      <c r="Q73" s="16">
        <f>Table1[[#This Row],[סכום כולל מע"מ]]-Table1[[#This Row],[סכום לפני מעמ2]]</f>
        <v>3596.4000000000015</v>
      </c>
    </row>
    <row r="74" spans="2:17" x14ac:dyDescent="0.25">
      <c r="B74" s="9">
        <v>72</v>
      </c>
      <c r="C74" s="9" t="s">
        <v>15</v>
      </c>
      <c r="D74" s="9">
        <v>72</v>
      </c>
      <c r="E74" s="9" t="s">
        <v>180</v>
      </c>
      <c r="F74" s="9">
        <v>60475</v>
      </c>
      <c r="G74" s="10">
        <v>46019</v>
      </c>
      <c r="H74" s="11" t="s">
        <v>181</v>
      </c>
      <c r="I74" s="11" t="s">
        <v>18</v>
      </c>
      <c r="J74" s="11" t="s">
        <v>31</v>
      </c>
      <c r="K74" s="11"/>
      <c r="L74" s="11" t="s">
        <v>20</v>
      </c>
      <c r="M74" s="12" t="s">
        <v>32</v>
      </c>
      <c r="N74" s="11" t="s">
        <v>22</v>
      </c>
      <c r="O74" s="4">
        <v>19970</v>
      </c>
      <c r="P74" s="8">
        <v>23564.6</v>
      </c>
      <c r="Q74" s="16">
        <f>Table1[[#This Row],[סכום כולל מע"מ]]-Table1[[#This Row],[סכום לפני מעמ2]]</f>
        <v>3594.5999999999985</v>
      </c>
    </row>
    <row r="75" spans="2:17" x14ac:dyDescent="0.25">
      <c r="B75" s="9">
        <v>73</v>
      </c>
      <c r="C75" s="9" t="s">
        <v>15</v>
      </c>
      <c r="D75" s="9">
        <v>73</v>
      </c>
      <c r="E75" s="9" t="s">
        <v>182</v>
      </c>
      <c r="F75" s="9">
        <v>60475</v>
      </c>
      <c r="G75" s="10">
        <v>46019</v>
      </c>
      <c r="H75" s="11" t="s">
        <v>183</v>
      </c>
      <c r="I75" s="11" t="s">
        <v>18</v>
      </c>
      <c r="J75" s="11" t="s">
        <v>31</v>
      </c>
      <c r="K75" s="11"/>
      <c r="L75" s="11" t="s">
        <v>20</v>
      </c>
      <c r="M75" s="12" t="s">
        <v>32</v>
      </c>
      <c r="N75" s="11" t="s">
        <v>22</v>
      </c>
      <c r="O75" s="4">
        <v>19980</v>
      </c>
      <c r="P75" s="8">
        <v>23576.400000000001</v>
      </c>
      <c r="Q75" s="16">
        <f>Table1[[#This Row],[סכום כולל מע"מ]]-Table1[[#This Row],[סכום לפני מעמ2]]</f>
        <v>3596.4000000000015</v>
      </c>
    </row>
    <row r="76" spans="2:17" x14ac:dyDescent="0.25">
      <c r="B76" s="9">
        <v>74</v>
      </c>
      <c r="C76" s="9" t="s">
        <v>15</v>
      </c>
      <c r="D76" s="9">
        <v>74</v>
      </c>
      <c r="E76" s="9" t="s">
        <v>184</v>
      </c>
      <c r="F76" s="9">
        <v>60475</v>
      </c>
      <c r="G76" s="10">
        <v>46020</v>
      </c>
      <c r="H76" s="11" t="s">
        <v>185</v>
      </c>
      <c r="I76" s="11" t="s">
        <v>18</v>
      </c>
      <c r="J76" s="11" t="s">
        <v>31</v>
      </c>
      <c r="K76" s="11"/>
      <c r="L76" s="11" t="s">
        <v>20</v>
      </c>
      <c r="M76" s="12" t="s">
        <v>32</v>
      </c>
      <c r="N76" s="11" t="s">
        <v>22</v>
      </c>
      <c r="O76" s="4">
        <v>19980</v>
      </c>
      <c r="P76" s="8">
        <v>23576.400000000001</v>
      </c>
      <c r="Q76" s="16">
        <f>Table1[[#This Row],[סכום כולל מע"מ]]-Table1[[#This Row],[סכום לפני מעמ2]]</f>
        <v>3596.4000000000015</v>
      </c>
    </row>
    <row r="77" spans="2:17" x14ac:dyDescent="0.25">
      <c r="B77" s="9">
        <v>75</v>
      </c>
      <c r="C77" s="9" t="s">
        <v>15</v>
      </c>
      <c r="D77" s="9">
        <v>75</v>
      </c>
      <c r="E77" s="9" t="s">
        <v>186</v>
      </c>
      <c r="F77" s="9">
        <v>60475</v>
      </c>
      <c r="G77" s="10">
        <v>46021</v>
      </c>
      <c r="H77" s="11" t="s">
        <v>187</v>
      </c>
      <c r="I77" s="11" t="s">
        <v>18</v>
      </c>
      <c r="J77" s="11" t="s">
        <v>25</v>
      </c>
      <c r="K77" s="11"/>
      <c r="L77" s="11" t="s">
        <v>20</v>
      </c>
      <c r="M77" s="12" t="s">
        <v>26</v>
      </c>
      <c r="N77" s="11" t="s">
        <v>22</v>
      </c>
      <c r="O77" s="4">
        <v>19970</v>
      </c>
      <c r="P77" s="8">
        <v>23564.6</v>
      </c>
      <c r="Q77" s="16">
        <f>Table1[[#This Row],[סכום כולל מע"מ]]-Table1[[#This Row],[סכום לפני מעמ2]]</f>
        <v>3594.5999999999985</v>
      </c>
    </row>
    <row r="78" spans="2:17" x14ac:dyDescent="0.25">
      <c r="B78" s="9">
        <v>76</v>
      </c>
      <c r="C78" s="9" t="s">
        <v>15</v>
      </c>
      <c r="D78" s="9">
        <v>76</v>
      </c>
      <c r="E78" s="9" t="s">
        <v>188</v>
      </c>
      <c r="F78" s="9">
        <v>60475</v>
      </c>
      <c r="G78" s="10">
        <v>46021</v>
      </c>
      <c r="H78" s="11" t="s">
        <v>189</v>
      </c>
      <c r="I78" s="11" t="s">
        <v>18</v>
      </c>
      <c r="J78" s="11" t="s">
        <v>51</v>
      </c>
      <c r="K78" s="11"/>
      <c r="L78" s="11" t="s">
        <v>20</v>
      </c>
      <c r="M78" s="12" t="s">
        <v>51</v>
      </c>
      <c r="N78" s="11" t="s">
        <v>22</v>
      </c>
      <c r="O78" s="4">
        <v>19970</v>
      </c>
      <c r="P78" s="8">
        <v>23564.6</v>
      </c>
      <c r="Q78" s="16">
        <f>Table1[[#This Row],[סכום כולל מע"מ]]-Table1[[#This Row],[סכום לפני מעמ2]]</f>
        <v>3594.5999999999985</v>
      </c>
    </row>
    <row r="79" spans="2:17" x14ac:dyDescent="0.25">
      <c r="B79" s="9">
        <v>77</v>
      </c>
      <c r="C79" s="9" t="s">
        <v>15</v>
      </c>
      <c r="D79" s="9">
        <v>77</v>
      </c>
      <c r="E79" s="9" t="s">
        <v>190</v>
      </c>
      <c r="F79" s="9">
        <v>60475</v>
      </c>
      <c r="G79" s="10">
        <v>46021</v>
      </c>
      <c r="H79" s="11" t="s">
        <v>191</v>
      </c>
      <c r="I79" s="11" t="s">
        <v>18</v>
      </c>
      <c r="J79" s="11" t="s">
        <v>31</v>
      </c>
      <c r="K79" s="11"/>
      <c r="L79" s="11" t="s">
        <v>20</v>
      </c>
      <c r="M79" s="12" t="s">
        <v>32</v>
      </c>
      <c r="N79" s="11" t="s">
        <v>22</v>
      </c>
      <c r="O79" s="4">
        <v>19970</v>
      </c>
      <c r="P79" s="8">
        <v>23564.6</v>
      </c>
      <c r="Q79" s="16">
        <f>Table1[[#This Row],[סכום כולל מע"מ]]-Table1[[#This Row],[סכום לפני מעמ2]]</f>
        <v>3594.5999999999985</v>
      </c>
    </row>
    <row r="80" spans="2:17" x14ac:dyDescent="0.25">
      <c r="B80" s="9">
        <v>78</v>
      </c>
      <c r="C80" s="9" t="s">
        <v>15</v>
      </c>
      <c r="D80" s="9">
        <v>78</v>
      </c>
      <c r="E80" s="9" t="s">
        <v>192</v>
      </c>
      <c r="F80" s="9">
        <v>60475</v>
      </c>
      <c r="G80" s="10">
        <v>46021</v>
      </c>
      <c r="H80" s="11" t="s">
        <v>193</v>
      </c>
      <c r="I80" s="11" t="s">
        <v>18</v>
      </c>
      <c r="J80" s="11" t="s">
        <v>19</v>
      </c>
      <c r="K80" s="11"/>
      <c r="L80" s="11" t="s">
        <v>20</v>
      </c>
      <c r="M80" s="12" t="s">
        <v>21</v>
      </c>
      <c r="N80" s="11" t="s">
        <v>22</v>
      </c>
      <c r="O80" s="4">
        <v>19960</v>
      </c>
      <c r="P80" s="8">
        <v>23552.799999999999</v>
      </c>
      <c r="Q80" s="16">
        <f>Table1[[#This Row],[סכום כולל מע"מ]]-Table1[[#This Row],[סכום לפני מעמ2]]</f>
        <v>3592.7999999999993</v>
      </c>
    </row>
    <row r="81" spans="2:17" x14ac:dyDescent="0.25">
      <c r="B81" s="9">
        <v>79</v>
      </c>
      <c r="C81" s="9" t="s">
        <v>15</v>
      </c>
      <c r="D81" s="9">
        <v>79</v>
      </c>
      <c r="E81" s="9" t="s">
        <v>194</v>
      </c>
      <c r="F81" s="9">
        <v>60475</v>
      </c>
      <c r="G81" s="10">
        <v>46021</v>
      </c>
      <c r="H81" s="11" t="s">
        <v>195</v>
      </c>
      <c r="I81" s="11" t="s">
        <v>18</v>
      </c>
      <c r="J81" s="11" t="s">
        <v>39</v>
      </c>
      <c r="K81" s="11"/>
      <c r="L81" s="11" t="s">
        <v>20</v>
      </c>
      <c r="M81" s="12" t="s">
        <v>40</v>
      </c>
      <c r="N81" s="11" t="s">
        <v>22</v>
      </c>
      <c r="O81" s="4">
        <v>19970</v>
      </c>
      <c r="P81" s="8">
        <v>23564.6</v>
      </c>
      <c r="Q81" s="16">
        <f>Table1[[#This Row],[סכום כולל מע"מ]]-Table1[[#This Row],[סכום לפני מעמ2]]</f>
        <v>3594.5999999999985</v>
      </c>
    </row>
    <row r="82" spans="2:17" x14ac:dyDescent="0.25">
      <c r="B82" s="9">
        <v>80</v>
      </c>
      <c r="C82" s="9" t="s">
        <v>15</v>
      </c>
      <c r="D82" s="9">
        <v>80</v>
      </c>
      <c r="E82" s="9" t="s">
        <v>196</v>
      </c>
      <c r="F82" s="9">
        <v>60475</v>
      </c>
      <c r="G82" s="10">
        <v>46021</v>
      </c>
      <c r="H82" s="11" t="s">
        <v>197</v>
      </c>
      <c r="I82" s="11" t="s">
        <v>18</v>
      </c>
      <c r="J82" s="11" t="s">
        <v>19</v>
      </c>
      <c r="K82" s="11"/>
      <c r="L82" s="11" t="s">
        <v>20</v>
      </c>
      <c r="M82" s="12" t="s">
        <v>21</v>
      </c>
      <c r="N82" s="11" t="s">
        <v>22</v>
      </c>
      <c r="O82" s="4">
        <v>19960</v>
      </c>
      <c r="P82" s="8">
        <v>23552.799999999999</v>
      </c>
      <c r="Q82" s="16">
        <f>Table1[[#This Row],[סכום כולל מע"מ]]-Table1[[#This Row],[סכום לפני מעמ2]]</f>
        <v>3592.7999999999993</v>
      </c>
    </row>
    <row r="83" spans="2:17" x14ac:dyDescent="0.25">
      <c r="B83" s="9">
        <v>81</v>
      </c>
      <c r="C83" s="9" t="s">
        <v>15</v>
      </c>
      <c r="D83" s="9">
        <v>81</v>
      </c>
      <c r="E83" s="9" t="s">
        <v>198</v>
      </c>
      <c r="F83" s="9">
        <v>60475</v>
      </c>
      <c r="G83" s="10">
        <v>46021</v>
      </c>
      <c r="H83" s="11" t="s">
        <v>199</v>
      </c>
      <c r="I83" s="11" t="s">
        <v>18</v>
      </c>
      <c r="J83" s="11" t="s">
        <v>31</v>
      </c>
      <c r="K83" s="11"/>
      <c r="L83" s="11" t="s">
        <v>20</v>
      </c>
      <c r="M83" s="12" t="s">
        <v>32</v>
      </c>
      <c r="N83" s="11" t="s">
        <v>22</v>
      </c>
      <c r="O83" s="4">
        <v>19970</v>
      </c>
      <c r="P83" s="8">
        <v>23564.6</v>
      </c>
      <c r="Q83" s="16">
        <f>Table1[[#This Row],[סכום כולל מע"מ]]-Table1[[#This Row],[סכום לפני מעמ2]]</f>
        <v>3594.5999999999985</v>
      </c>
    </row>
    <row r="84" spans="2:17" x14ac:dyDescent="0.25">
      <c r="B84" s="9">
        <v>82</v>
      </c>
      <c r="C84" s="9" t="s">
        <v>15</v>
      </c>
      <c r="D84" s="9">
        <v>82</v>
      </c>
      <c r="E84" s="9" t="s">
        <v>200</v>
      </c>
      <c r="F84" s="9">
        <v>60475</v>
      </c>
      <c r="G84" s="10">
        <v>46022</v>
      </c>
      <c r="H84" s="11" t="s">
        <v>201</v>
      </c>
      <c r="I84" s="11" t="s">
        <v>18</v>
      </c>
      <c r="J84" s="11" t="s">
        <v>202</v>
      </c>
      <c r="K84" s="11"/>
      <c r="L84" s="11" t="s">
        <v>20</v>
      </c>
      <c r="M84" s="12" t="s">
        <v>203</v>
      </c>
      <c r="N84" s="11" t="s">
        <v>22</v>
      </c>
      <c r="O84" s="4">
        <v>19960</v>
      </c>
      <c r="P84" s="8">
        <v>23552.799999999999</v>
      </c>
      <c r="Q84" s="16">
        <f>Table1[[#This Row],[סכום כולל מע"מ]]-Table1[[#This Row],[סכום לפני מעמ2]]</f>
        <v>3592.7999999999993</v>
      </c>
    </row>
    <row r="85" spans="2:17" x14ac:dyDescent="0.25">
      <c r="B85" s="9">
        <v>83</v>
      </c>
      <c r="C85" s="9" t="s">
        <v>15</v>
      </c>
      <c r="D85" s="9">
        <v>83</v>
      </c>
      <c r="E85" s="9" t="s">
        <v>204</v>
      </c>
      <c r="F85" s="9">
        <v>60475</v>
      </c>
      <c r="G85" s="10">
        <v>46022</v>
      </c>
      <c r="H85" s="11" t="s">
        <v>205</v>
      </c>
      <c r="I85" s="11" t="s">
        <v>18</v>
      </c>
      <c r="J85" s="11" t="s">
        <v>39</v>
      </c>
      <c r="K85" s="11"/>
      <c r="L85" s="11" t="s">
        <v>20</v>
      </c>
      <c r="M85" s="12" t="s">
        <v>40</v>
      </c>
      <c r="N85" s="11" t="s">
        <v>22</v>
      </c>
      <c r="O85" s="4">
        <v>19970</v>
      </c>
      <c r="P85" s="8">
        <v>23564.6</v>
      </c>
      <c r="Q85" s="16">
        <f>Table1[[#This Row],[סכום כולל מע"מ]]-Table1[[#This Row],[סכום לפני מעמ2]]</f>
        <v>3594.5999999999985</v>
      </c>
    </row>
    <row r="86" spans="2:17" x14ac:dyDescent="0.25">
      <c r="B86" s="9">
        <v>84</v>
      </c>
      <c r="C86" s="9" t="s">
        <v>15</v>
      </c>
      <c r="D86" s="9">
        <v>84</v>
      </c>
      <c r="E86" s="9" t="s">
        <v>206</v>
      </c>
      <c r="F86" s="9">
        <v>60475</v>
      </c>
      <c r="G86" s="10">
        <v>46022</v>
      </c>
      <c r="H86" s="11" t="s">
        <v>207</v>
      </c>
      <c r="I86" s="11" t="s">
        <v>18</v>
      </c>
      <c r="J86" s="11" t="s">
        <v>39</v>
      </c>
      <c r="K86" s="11"/>
      <c r="L86" s="11" t="s">
        <v>20</v>
      </c>
      <c r="M86" s="12" t="s">
        <v>40</v>
      </c>
      <c r="N86" s="11" t="s">
        <v>22</v>
      </c>
      <c r="O86" s="4">
        <v>19970</v>
      </c>
      <c r="P86" s="8">
        <v>23564.6</v>
      </c>
      <c r="Q86" s="16">
        <f>Table1[[#This Row],[סכום כולל מע"מ]]-Table1[[#This Row],[סכום לפני מעמ2]]</f>
        <v>3594.5999999999985</v>
      </c>
    </row>
    <row r="87" spans="2:17" x14ac:dyDescent="0.25">
      <c r="B87" s="9">
        <v>85</v>
      </c>
      <c r="C87" s="9" t="s">
        <v>15</v>
      </c>
      <c r="D87" s="9">
        <v>85</v>
      </c>
      <c r="E87" s="9" t="s">
        <v>208</v>
      </c>
      <c r="F87" s="9">
        <v>60475</v>
      </c>
      <c r="G87" s="10">
        <v>46022</v>
      </c>
      <c r="H87" s="11" t="s">
        <v>209</v>
      </c>
      <c r="I87" s="11" t="s">
        <v>18</v>
      </c>
      <c r="J87" s="11" t="s">
        <v>35</v>
      </c>
      <c r="K87" s="11"/>
      <c r="L87" s="11" t="s">
        <v>20</v>
      </c>
      <c r="M87" s="12" t="s">
        <v>36</v>
      </c>
      <c r="N87" s="11" t="s">
        <v>22</v>
      </c>
      <c r="O87" s="4">
        <v>19970</v>
      </c>
      <c r="P87" s="8">
        <v>23564.6</v>
      </c>
      <c r="Q87" s="16">
        <f>Table1[[#This Row],[סכום כולל מע"מ]]-Table1[[#This Row],[סכום לפני מעמ2]]</f>
        <v>3594.5999999999985</v>
      </c>
    </row>
    <row r="88" spans="2:17" x14ac:dyDescent="0.25">
      <c r="B88" s="9">
        <v>86</v>
      </c>
      <c r="C88" s="9" t="s">
        <v>15</v>
      </c>
      <c r="D88" s="9">
        <v>86</v>
      </c>
      <c r="E88" s="9" t="s">
        <v>210</v>
      </c>
      <c r="F88" s="9">
        <v>60475</v>
      </c>
      <c r="G88" s="10">
        <v>46022</v>
      </c>
      <c r="H88" s="11" t="s">
        <v>211</v>
      </c>
      <c r="I88" s="11" t="s">
        <v>18</v>
      </c>
      <c r="J88" s="11" t="s">
        <v>19</v>
      </c>
      <c r="K88" s="11"/>
      <c r="L88" s="11" t="s">
        <v>20</v>
      </c>
      <c r="M88" s="12" t="s">
        <v>21</v>
      </c>
      <c r="N88" s="11" t="s">
        <v>22</v>
      </c>
      <c r="O88" s="4">
        <v>19980</v>
      </c>
      <c r="P88" s="8">
        <v>23576.400000000001</v>
      </c>
      <c r="Q88" s="16">
        <f>Table1[[#This Row],[סכום כולל מע"מ]]-Table1[[#This Row],[סכום לפני מעמ2]]</f>
        <v>3596.4000000000015</v>
      </c>
    </row>
    <row r="89" spans="2:17" x14ac:dyDescent="0.25">
      <c r="B89" s="9">
        <v>87</v>
      </c>
      <c r="C89" s="9" t="s">
        <v>15</v>
      </c>
      <c r="D89" s="9">
        <v>87</v>
      </c>
      <c r="E89" s="9" t="s">
        <v>212</v>
      </c>
      <c r="F89" s="9">
        <v>60475</v>
      </c>
      <c r="G89" s="10">
        <v>46022</v>
      </c>
      <c r="H89" s="11" t="s">
        <v>213</v>
      </c>
      <c r="I89" s="11" t="s">
        <v>18</v>
      </c>
      <c r="J89" s="11" t="s">
        <v>31</v>
      </c>
      <c r="K89" s="11"/>
      <c r="L89" s="11" t="s">
        <v>20</v>
      </c>
      <c r="M89" s="12" t="s">
        <v>32</v>
      </c>
      <c r="N89" s="11" t="s">
        <v>22</v>
      </c>
      <c r="O89" s="4">
        <v>19980</v>
      </c>
      <c r="P89" s="8">
        <v>23576.400000000001</v>
      </c>
      <c r="Q89" s="16">
        <f>Table1[[#This Row],[סכום כולל מע"מ]]-Table1[[#This Row],[סכום לפני מעמ2]]</f>
        <v>3596.4000000000015</v>
      </c>
    </row>
    <row r="90" spans="2:17" x14ac:dyDescent="0.25">
      <c r="B90" s="9">
        <v>88</v>
      </c>
      <c r="C90" s="9" t="s">
        <v>15</v>
      </c>
      <c r="D90" s="9">
        <v>88</v>
      </c>
      <c r="E90" s="9" t="s">
        <v>214</v>
      </c>
      <c r="F90" s="9">
        <v>60475</v>
      </c>
      <c r="G90" s="10">
        <v>46022</v>
      </c>
      <c r="H90" s="11" t="s">
        <v>215</v>
      </c>
      <c r="I90" s="11" t="s">
        <v>18</v>
      </c>
      <c r="J90" s="11" t="s">
        <v>31</v>
      </c>
      <c r="K90" s="11"/>
      <c r="L90" s="11" t="s">
        <v>20</v>
      </c>
      <c r="M90" s="12" t="s">
        <v>32</v>
      </c>
      <c r="N90" s="11" t="s">
        <v>22</v>
      </c>
      <c r="O90" s="4">
        <v>19970</v>
      </c>
      <c r="P90" s="8">
        <v>23564.6</v>
      </c>
      <c r="Q90" s="16">
        <f>Table1[[#This Row],[סכום כולל מע"מ]]-Table1[[#This Row],[סכום לפני מעמ2]]</f>
        <v>3594.5999999999985</v>
      </c>
    </row>
    <row r="91" spans="2:17" x14ac:dyDescent="0.25">
      <c r="B91" s="9">
        <v>89</v>
      </c>
      <c r="C91" s="9" t="s">
        <v>15</v>
      </c>
      <c r="D91" s="9">
        <v>89</v>
      </c>
      <c r="E91" s="9" t="s">
        <v>216</v>
      </c>
      <c r="F91" s="9">
        <v>60475</v>
      </c>
      <c r="G91" s="10">
        <v>46022</v>
      </c>
      <c r="H91" s="11" t="s">
        <v>217</v>
      </c>
      <c r="I91" s="11" t="s">
        <v>18</v>
      </c>
      <c r="J91" s="11" t="s">
        <v>31</v>
      </c>
      <c r="K91" s="11"/>
      <c r="L91" s="11" t="s">
        <v>20</v>
      </c>
      <c r="M91" s="12" t="s">
        <v>32</v>
      </c>
      <c r="N91" s="11" t="s">
        <v>22</v>
      </c>
      <c r="O91" s="4">
        <v>19950</v>
      </c>
      <c r="P91" s="8">
        <v>23541</v>
      </c>
      <c r="Q91" s="16">
        <f>Table1[[#This Row],[סכום כולל מע"מ]]-Table1[[#This Row],[סכום לפני מעמ2]]</f>
        <v>3591</v>
      </c>
    </row>
    <row r="92" spans="2:17" x14ac:dyDescent="0.25">
      <c r="B92" s="9">
        <v>90</v>
      </c>
      <c r="C92" s="9" t="s">
        <v>15</v>
      </c>
      <c r="D92" s="9">
        <v>90</v>
      </c>
      <c r="E92" s="9" t="s">
        <v>218</v>
      </c>
      <c r="F92" s="9">
        <v>60475</v>
      </c>
      <c r="G92" s="10">
        <v>46022</v>
      </c>
      <c r="H92" s="11" t="s">
        <v>219</v>
      </c>
      <c r="I92" s="11" t="s">
        <v>18</v>
      </c>
      <c r="J92" s="11" t="s">
        <v>19</v>
      </c>
      <c r="K92" s="11"/>
      <c r="L92" s="11" t="s">
        <v>20</v>
      </c>
      <c r="M92" s="12" t="s">
        <v>21</v>
      </c>
      <c r="N92" s="11" t="s">
        <v>22</v>
      </c>
      <c r="O92" s="4">
        <v>19970</v>
      </c>
      <c r="P92" s="8">
        <v>23564.6</v>
      </c>
      <c r="Q92" s="16">
        <f>Table1[[#This Row],[סכום כולל מע"מ]]-Table1[[#This Row],[סכום לפני מעמ2]]</f>
        <v>3594.5999999999985</v>
      </c>
    </row>
    <row r="93" spans="2:17" x14ac:dyDescent="0.25">
      <c r="B93" s="9">
        <v>91</v>
      </c>
      <c r="C93" s="9" t="s">
        <v>15</v>
      </c>
      <c r="D93" s="9">
        <v>91</v>
      </c>
      <c r="E93" s="9" t="s">
        <v>220</v>
      </c>
      <c r="F93" s="9">
        <v>60475</v>
      </c>
      <c r="G93" s="10">
        <v>45992</v>
      </c>
      <c r="H93" s="11" t="s">
        <v>221</v>
      </c>
      <c r="I93" s="11" t="s">
        <v>18</v>
      </c>
      <c r="J93" s="11" t="s">
        <v>25</v>
      </c>
      <c r="K93" s="11"/>
      <c r="L93" s="11" t="s">
        <v>20</v>
      </c>
      <c r="M93" s="12" t="s">
        <v>26</v>
      </c>
      <c r="N93" s="11" t="s">
        <v>22</v>
      </c>
      <c r="O93" s="4">
        <v>19980</v>
      </c>
      <c r="P93" s="8">
        <v>23576.400000000001</v>
      </c>
      <c r="Q93" s="16">
        <f>Table1[[#This Row],[סכום כולל מע"מ]]-Table1[[#This Row],[סכום לפני מעמ2]]</f>
        <v>3596.4000000000015</v>
      </c>
    </row>
    <row r="94" spans="2:17" x14ac:dyDescent="0.25">
      <c r="B94" s="9">
        <v>92</v>
      </c>
      <c r="C94" s="9" t="s">
        <v>15</v>
      </c>
      <c r="D94" s="9">
        <v>92</v>
      </c>
      <c r="E94" s="9" t="s">
        <v>222</v>
      </c>
      <c r="F94" s="9">
        <v>60475</v>
      </c>
      <c r="G94" s="10">
        <v>45993</v>
      </c>
      <c r="H94" s="11" t="s">
        <v>223</v>
      </c>
      <c r="I94" s="11" t="s">
        <v>18</v>
      </c>
      <c r="J94" s="11" t="s">
        <v>35</v>
      </c>
      <c r="K94" s="11"/>
      <c r="L94" s="11" t="s">
        <v>20</v>
      </c>
      <c r="M94" s="12" t="s">
        <v>36</v>
      </c>
      <c r="N94" s="11" t="s">
        <v>22</v>
      </c>
      <c r="O94" s="4">
        <v>19970</v>
      </c>
      <c r="P94" s="8">
        <v>23564.6</v>
      </c>
      <c r="Q94" s="16">
        <f>Table1[[#This Row],[סכום כולל מע"מ]]-Table1[[#This Row],[סכום לפני מעמ2]]</f>
        <v>3594.5999999999985</v>
      </c>
    </row>
    <row r="95" spans="2:17" x14ac:dyDescent="0.25">
      <c r="B95" s="9">
        <v>93</v>
      </c>
      <c r="C95" s="9" t="s">
        <v>15</v>
      </c>
      <c r="D95" s="9">
        <v>93</v>
      </c>
      <c r="E95" s="9" t="s">
        <v>224</v>
      </c>
      <c r="F95" s="9">
        <v>60475</v>
      </c>
      <c r="G95" s="10">
        <v>45994</v>
      </c>
      <c r="H95" s="11" t="s">
        <v>225</v>
      </c>
      <c r="I95" s="11" t="s">
        <v>18</v>
      </c>
      <c r="J95" s="11" t="s">
        <v>31</v>
      </c>
      <c r="K95" s="11"/>
      <c r="L95" s="11" t="s">
        <v>20</v>
      </c>
      <c r="M95" s="12" t="s">
        <v>32</v>
      </c>
      <c r="N95" s="11" t="s">
        <v>22</v>
      </c>
      <c r="O95" s="4">
        <v>19960</v>
      </c>
      <c r="P95" s="8">
        <v>23552.799999999999</v>
      </c>
      <c r="Q95" s="16">
        <f>Table1[[#This Row],[סכום כולל מע"מ]]-Table1[[#This Row],[סכום לפני מעמ2]]</f>
        <v>3592.7999999999993</v>
      </c>
    </row>
    <row r="96" spans="2:17" x14ac:dyDescent="0.25">
      <c r="B96" s="9">
        <v>94</v>
      </c>
      <c r="C96" s="9" t="s">
        <v>15</v>
      </c>
      <c r="D96" s="9">
        <v>94</v>
      </c>
      <c r="E96" s="9" t="s">
        <v>226</v>
      </c>
      <c r="F96" s="9">
        <v>60475</v>
      </c>
      <c r="G96" s="10">
        <v>45994</v>
      </c>
      <c r="H96" s="11" t="s">
        <v>227</v>
      </c>
      <c r="I96" s="11" t="s">
        <v>18</v>
      </c>
      <c r="J96" s="11" t="s">
        <v>39</v>
      </c>
      <c r="K96" s="11"/>
      <c r="L96" s="11" t="s">
        <v>20</v>
      </c>
      <c r="M96" s="12" t="s">
        <v>40</v>
      </c>
      <c r="N96" s="11" t="s">
        <v>22</v>
      </c>
      <c r="O96" s="4">
        <v>19980</v>
      </c>
      <c r="P96" s="8">
        <v>23576.400000000001</v>
      </c>
      <c r="Q96" s="16">
        <f>Table1[[#This Row],[סכום כולל מע"מ]]-Table1[[#This Row],[סכום לפני מעמ2]]</f>
        <v>3596.4000000000015</v>
      </c>
    </row>
    <row r="97" spans="2:17" x14ac:dyDescent="0.25">
      <c r="B97" s="9">
        <v>95</v>
      </c>
      <c r="C97" s="9" t="s">
        <v>15</v>
      </c>
      <c r="D97" s="9">
        <v>95</v>
      </c>
      <c r="E97" s="9" t="s">
        <v>228</v>
      </c>
      <c r="F97" s="9">
        <v>60475</v>
      </c>
      <c r="G97" s="10">
        <v>45995</v>
      </c>
      <c r="H97" s="11" t="s">
        <v>229</v>
      </c>
      <c r="I97" s="11" t="s">
        <v>18</v>
      </c>
      <c r="J97" s="11" t="s">
        <v>31</v>
      </c>
      <c r="K97" s="11"/>
      <c r="L97" s="11" t="s">
        <v>20</v>
      </c>
      <c r="M97" s="12" t="s">
        <v>32</v>
      </c>
      <c r="N97" s="11" t="s">
        <v>22</v>
      </c>
      <c r="O97" s="4">
        <v>19970</v>
      </c>
      <c r="P97" s="8">
        <v>23564.6</v>
      </c>
      <c r="Q97" s="16">
        <f>Table1[[#This Row],[סכום כולל מע"מ]]-Table1[[#This Row],[סכום לפני מעמ2]]</f>
        <v>3594.5999999999985</v>
      </c>
    </row>
    <row r="98" spans="2:17" x14ac:dyDescent="0.25">
      <c r="B98" s="9">
        <v>96</v>
      </c>
      <c r="C98" s="9" t="s">
        <v>15</v>
      </c>
      <c r="D98" s="9">
        <v>96</v>
      </c>
      <c r="E98" s="9" t="s">
        <v>230</v>
      </c>
      <c r="F98" s="9">
        <v>60475</v>
      </c>
      <c r="G98" s="10">
        <v>45998</v>
      </c>
      <c r="H98" s="11" t="s">
        <v>231</v>
      </c>
      <c r="I98" s="11" t="s">
        <v>18</v>
      </c>
      <c r="J98" s="11" t="s">
        <v>35</v>
      </c>
      <c r="K98" s="11"/>
      <c r="L98" s="11" t="s">
        <v>20</v>
      </c>
      <c r="M98" s="12" t="s">
        <v>36</v>
      </c>
      <c r="N98" s="11" t="s">
        <v>22</v>
      </c>
      <c r="O98" s="4">
        <v>19950</v>
      </c>
      <c r="P98" s="8">
        <v>23541</v>
      </c>
      <c r="Q98" s="16">
        <f>Table1[[#This Row],[סכום כולל מע"מ]]-Table1[[#This Row],[סכום לפני מעמ2]]</f>
        <v>3591</v>
      </c>
    </row>
    <row r="99" spans="2:17" x14ac:dyDescent="0.25">
      <c r="B99" s="9">
        <v>97</v>
      </c>
      <c r="C99" s="9" t="s">
        <v>15</v>
      </c>
      <c r="D99" s="9">
        <v>97</v>
      </c>
      <c r="E99" s="9" t="s">
        <v>232</v>
      </c>
      <c r="F99" s="9">
        <v>60475</v>
      </c>
      <c r="G99" s="10">
        <v>45999</v>
      </c>
      <c r="H99" s="11" t="s">
        <v>233</v>
      </c>
      <c r="I99" s="11" t="s">
        <v>18</v>
      </c>
      <c r="J99" s="11" t="s">
        <v>31</v>
      </c>
      <c r="K99" s="11"/>
      <c r="L99" s="11" t="s">
        <v>20</v>
      </c>
      <c r="M99" s="12" t="s">
        <v>32</v>
      </c>
      <c r="N99" s="11" t="s">
        <v>22</v>
      </c>
      <c r="O99" s="4">
        <v>19970</v>
      </c>
      <c r="P99" s="8">
        <v>23564.6</v>
      </c>
      <c r="Q99" s="16">
        <f>Table1[[#This Row],[סכום כולל מע"מ]]-Table1[[#This Row],[סכום לפני מעמ2]]</f>
        <v>3594.5999999999985</v>
      </c>
    </row>
    <row r="100" spans="2:17" x14ac:dyDescent="0.25">
      <c r="B100" s="9">
        <v>98</v>
      </c>
      <c r="C100" s="9" t="s">
        <v>15</v>
      </c>
      <c r="D100" s="9">
        <v>98</v>
      </c>
      <c r="E100" s="9" t="s">
        <v>234</v>
      </c>
      <c r="F100" s="9">
        <v>60475</v>
      </c>
      <c r="G100" s="10">
        <v>46000</v>
      </c>
      <c r="H100" s="11" t="s">
        <v>235</v>
      </c>
      <c r="I100" s="11" t="s">
        <v>18</v>
      </c>
      <c r="J100" s="11" t="s">
        <v>35</v>
      </c>
      <c r="K100" s="11"/>
      <c r="L100" s="11" t="s">
        <v>20</v>
      </c>
      <c r="M100" s="12" t="s">
        <v>36</v>
      </c>
      <c r="N100" s="11" t="s">
        <v>22</v>
      </c>
      <c r="O100" s="4">
        <v>19950</v>
      </c>
      <c r="P100" s="8">
        <v>23541</v>
      </c>
      <c r="Q100" s="16">
        <f>Table1[[#This Row],[סכום כולל מע"מ]]-Table1[[#This Row],[סכום לפני מעמ2]]</f>
        <v>3591</v>
      </c>
    </row>
    <row r="101" spans="2:17" x14ac:dyDescent="0.25">
      <c r="B101" s="9">
        <v>99</v>
      </c>
      <c r="C101" s="9" t="s">
        <v>15</v>
      </c>
      <c r="D101" s="9">
        <v>99</v>
      </c>
      <c r="E101" s="9" t="s">
        <v>236</v>
      </c>
      <c r="F101" s="9">
        <v>60475</v>
      </c>
      <c r="G101" s="10">
        <v>46000</v>
      </c>
      <c r="H101" s="11" t="s">
        <v>237</v>
      </c>
      <c r="I101" s="11" t="s">
        <v>18</v>
      </c>
      <c r="J101" s="11" t="s">
        <v>31</v>
      </c>
      <c r="K101" s="11"/>
      <c r="L101" s="11" t="s">
        <v>20</v>
      </c>
      <c r="M101" s="12" t="s">
        <v>32</v>
      </c>
      <c r="N101" s="11" t="s">
        <v>22</v>
      </c>
      <c r="O101" s="4">
        <v>19970</v>
      </c>
      <c r="P101" s="8">
        <v>23564.6</v>
      </c>
      <c r="Q101" s="16">
        <f>Table1[[#This Row],[סכום כולל מע"מ]]-Table1[[#This Row],[סכום לפני מעמ2]]</f>
        <v>3594.5999999999985</v>
      </c>
    </row>
    <row r="102" spans="2:17" x14ac:dyDescent="0.25">
      <c r="B102" s="9">
        <v>100</v>
      </c>
      <c r="C102" s="9" t="s">
        <v>15</v>
      </c>
      <c r="D102" s="9">
        <v>100</v>
      </c>
      <c r="E102" s="9" t="s">
        <v>238</v>
      </c>
      <c r="F102" s="9">
        <v>60475</v>
      </c>
      <c r="G102" s="10">
        <v>46001</v>
      </c>
      <c r="H102" s="11" t="s">
        <v>239</v>
      </c>
      <c r="I102" s="11" t="s">
        <v>18</v>
      </c>
      <c r="J102" s="11" t="s">
        <v>25</v>
      </c>
      <c r="K102" s="11"/>
      <c r="L102" s="11" t="s">
        <v>20</v>
      </c>
      <c r="M102" s="12" t="s">
        <v>26</v>
      </c>
      <c r="N102" s="11" t="s">
        <v>22</v>
      </c>
      <c r="O102" s="4">
        <v>19970</v>
      </c>
      <c r="P102" s="8">
        <v>23564.6</v>
      </c>
      <c r="Q102" s="16">
        <f>Table1[[#This Row],[סכום כולל מע"מ]]-Table1[[#This Row],[סכום לפני מעמ2]]</f>
        <v>3594.5999999999985</v>
      </c>
    </row>
    <row r="103" spans="2:17" x14ac:dyDescent="0.25">
      <c r="B103" s="9">
        <v>101</v>
      </c>
      <c r="C103" s="9" t="s">
        <v>15</v>
      </c>
      <c r="D103" s="9">
        <v>101</v>
      </c>
      <c r="E103" s="9" t="s">
        <v>240</v>
      </c>
      <c r="F103" s="9">
        <v>60475</v>
      </c>
      <c r="G103" s="10">
        <v>46002</v>
      </c>
      <c r="H103" s="11" t="s">
        <v>241</v>
      </c>
      <c r="I103" s="11" t="s">
        <v>18</v>
      </c>
      <c r="J103" s="11" t="s">
        <v>19</v>
      </c>
      <c r="K103" s="11"/>
      <c r="L103" s="11" t="s">
        <v>20</v>
      </c>
      <c r="M103" s="12" t="s">
        <v>21</v>
      </c>
      <c r="N103" s="11" t="s">
        <v>22</v>
      </c>
      <c r="O103" s="4">
        <v>19980</v>
      </c>
      <c r="P103" s="8">
        <v>23576.400000000001</v>
      </c>
      <c r="Q103" s="16">
        <f>Table1[[#This Row],[סכום כולל מע"מ]]-Table1[[#This Row],[סכום לפני מעמ2]]</f>
        <v>3596.4000000000015</v>
      </c>
    </row>
    <row r="104" spans="2:17" x14ac:dyDescent="0.25">
      <c r="B104" s="9">
        <v>102</v>
      </c>
      <c r="C104" s="9" t="s">
        <v>15</v>
      </c>
      <c r="D104" s="9">
        <v>102</v>
      </c>
      <c r="E104" s="9" t="s">
        <v>242</v>
      </c>
      <c r="F104" s="9">
        <v>60475</v>
      </c>
      <c r="G104" s="10">
        <v>46002</v>
      </c>
      <c r="H104" s="11" t="s">
        <v>243</v>
      </c>
      <c r="I104" s="11" t="s">
        <v>18</v>
      </c>
      <c r="J104" s="11" t="s">
        <v>31</v>
      </c>
      <c r="K104" s="11"/>
      <c r="L104" s="11" t="s">
        <v>20</v>
      </c>
      <c r="M104" s="12" t="s">
        <v>32</v>
      </c>
      <c r="N104" s="11" t="s">
        <v>22</v>
      </c>
      <c r="O104" s="4">
        <v>19960</v>
      </c>
      <c r="P104" s="8">
        <v>23552.799999999999</v>
      </c>
      <c r="Q104" s="16">
        <f>Table1[[#This Row],[סכום כולל מע"מ]]-Table1[[#This Row],[סכום לפני מעמ2]]</f>
        <v>3592.7999999999993</v>
      </c>
    </row>
    <row r="105" spans="2:17" x14ac:dyDescent="0.25">
      <c r="B105" s="9">
        <v>103</v>
      </c>
      <c r="C105" s="9" t="s">
        <v>15</v>
      </c>
      <c r="D105" s="9">
        <v>103</v>
      </c>
      <c r="E105" s="9" t="s">
        <v>244</v>
      </c>
      <c r="F105" s="9">
        <v>60475</v>
      </c>
      <c r="G105" s="10">
        <v>46005</v>
      </c>
      <c r="H105" s="11" t="s">
        <v>245</v>
      </c>
      <c r="I105" s="11" t="s">
        <v>18</v>
      </c>
      <c r="J105" s="11" t="s">
        <v>31</v>
      </c>
      <c r="K105" s="11"/>
      <c r="L105" s="11" t="s">
        <v>20</v>
      </c>
      <c r="M105" s="12" t="s">
        <v>32</v>
      </c>
      <c r="N105" s="11" t="s">
        <v>22</v>
      </c>
      <c r="O105" s="4">
        <v>19960</v>
      </c>
      <c r="P105" s="8">
        <v>23552.799999999999</v>
      </c>
      <c r="Q105" s="16">
        <f>Table1[[#This Row],[סכום כולל מע"מ]]-Table1[[#This Row],[סכום לפני מעמ2]]</f>
        <v>3592.7999999999993</v>
      </c>
    </row>
    <row r="106" spans="2:17" x14ac:dyDescent="0.25">
      <c r="B106" s="9">
        <v>104</v>
      </c>
      <c r="C106" s="9" t="s">
        <v>15</v>
      </c>
      <c r="D106" s="9">
        <v>104</v>
      </c>
      <c r="E106" s="9" t="s">
        <v>246</v>
      </c>
      <c r="F106" s="9">
        <v>60475</v>
      </c>
      <c r="G106" s="10">
        <v>46006</v>
      </c>
      <c r="H106" s="11" t="s">
        <v>247</v>
      </c>
      <c r="I106" s="11" t="s">
        <v>18</v>
      </c>
      <c r="J106" s="11" t="s">
        <v>31</v>
      </c>
      <c r="K106" s="11"/>
      <c r="L106" s="11" t="s">
        <v>20</v>
      </c>
      <c r="M106" s="12" t="s">
        <v>32</v>
      </c>
      <c r="N106" s="11" t="s">
        <v>22</v>
      </c>
      <c r="O106" s="4">
        <v>19960</v>
      </c>
      <c r="P106" s="8">
        <v>23552.799999999999</v>
      </c>
      <c r="Q106" s="16">
        <f>Table1[[#This Row],[סכום כולל מע"מ]]-Table1[[#This Row],[סכום לפני מעמ2]]</f>
        <v>3592.7999999999993</v>
      </c>
    </row>
    <row r="107" spans="2:17" x14ac:dyDescent="0.25">
      <c r="B107" s="9">
        <v>105</v>
      </c>
      <c r="C107" s="9" t="s">
        <v>15</v>
      </c>
      <c r="D107" s="9">
        <v>105</v>
      </c>
      <c r="E107" s="9" t="s">
        <v>248</v>
      </c>
      <c r="F107" s="9">
        <v>60475</v>
      </c>
      <c r="G107" s="10">
        <v>46007</v>
      </c>
      <c r="H107" s="11" t="s">
        <v>249</v>
      </c>
      <c r="I107" s="11" t="s">
        <v>18</v>
      </c>
      <c r="J107" s="11" t="s">
        <v>72</v>
      </c>
      <c r="K107" s="11"/>
      <c r="L107" s="11" t="s">
        <v>20</v>
      </c>
      <c r="M107" s="12" t="s">
        <v>73</v>
      </c>
      <c r="N107" s="11" t="s">
        <v>22</v>
      </c>
      <c r="O107" s="4">
        <v>19970</v>
      </c>
      <c r="P107" s="8">
        <v>23564.6</v>
      </c>
      <c r="Q107" s="16">
        <f>Table1[[#This Row],[סכום כולל מע"מ]]-Table1[[#This Row],[סכום לפני מעמ2]]</f>
        <v>3594.5999999999985</v>
      </c>
    </row>
    <row r="108" spans="2:17" x14ac:dyDescent="0.25">
      <c r="B108" s="9">
        <v>106</v>
      </c>
      <c r="C108" s="9" t="s">
        <v>15</v>
      </c>
      <c r="D108" s="9">
        <v>106</v>
      </c>
      <c r="E108" s="9" t="s">
        <v>250</v>
      </c>
      <c r="F108" s="9">
        <v>60475</v>
      </c>
      <c r="G108" s="10">
        <v>46007</v>
      </c>
      <c r="H108" s="11" t="s">
        <v>251</v>
      </c>
      <c r="I108" s="11" t="s">
        <v>18</v>
      </c>
      <c r="J108" s="11" t="s">
        <v>19</v>
      </c>
      <c r="K108" s="11"/>
      <c r="L108" s="11" t="s">
        <v>20</v>
      </c>
      <c r="M108" s="12" t="s">
        <v>21</v>
      </c>
      <c r="N108" s="11" t="s">
        <v>22</v>
      </c>
      <c r="O108" s="4">
        <v>19960</v>
      </c>
      <c r="P108" s="8">
        <v>23552.799999999999</v>
      </c>
      <c r="Q108" s="16">
        <f>Table1[[#This Row],[סכום כולל מע"מ]]-Table1[[#This Row],[סכום לפני מעמ2]]</f>
        <v>3592.7999999999993</v>
      </c>
    </row>
    <row r="109" spans="2:17" x14ac:dyDescent="0.25">
      <c r="B109" s="9">
        <v>107</v>
      </c>
      <c r="C109" s="9" t="s">
        <v>15</v>
      </c>
      <c r="D109" s="9">
        <v>107</v>
      </c>
      <c r="E109" s="9" t="s">
        <v>252</v>
      </c>
      <c r="F109" s="9">
        <v>60475</v>
      </c>
      <c r="G109" s="10">
        <v>46007</v>
      </c>
      <c r="H109" s="11" t="s">
        <v>253</v>
      </c>
      <c r="I109" s="11" t="s">
        <v>18</v>
      </c>
      <c r="J109" s="11" t="s">
        <v>19</v>
      </c>
      <c r="K109" s="11"/>
      <c r="L109" s="11" t="s">
        <v>20</v>
      </c>
      <c r="M109" s="12" t="s">
        <v>21</v>
      </c>
      <c r="N109" s="11" t="s">
        <v>22</v>
      </c>
      <c r="O109" s="4">
        <v>19960</v>
      </c>
      <c r="P109" s="8">
        <v>23552.799999999999</v>
      </c>
      <c r="Q109" s="16">
        <f>Table1[[#This Row],[סכום כולל מע"מ]]-Table1[[#This Row],[סכום לפני מעמ2]]</f>
        <v>3592.7999999999993</v>
      </c>
    </row>
    <row r="110" spans="2:17" x14ac:dyDescent="0.25">
      <c r="B110" s="9">
        <v>108</v>
      </c>
      <c r="C110" s="9" t="s">
        <v>15</v>
      </c>
      <c r="D110" s="9">
        <v>108</v>
      </c>
      <c r="E110" s="9" t="s">
        <v>254</v>
      </c>
      <c r="F110" s="9">
        <v>60475</v>
      </c>
      <c r="G110" s="10">
        <v>46007</v>
      </c>
      <c r="H110" s="11" t="s">
        <v>255</v>
      </c>
      <c r="I110" s="11" t="s">
        <v>18</v>
      </c>
      <c r="J110" s="11" t="s">
        <v>31</v>
      </c>
      <c r="K110" s="11"/>
      <c r="L110" s="11" t="s">
        <v>20</v>
      </c>
      <c r="M110" s="12" t="s">
        <v>32</v>
      </c>
      <c r="N110" s="11" t="s">
        <v>22</v>
      </c>
      <c r="O110" s="4">
        <v>19980</v>
      </c>
      <c r="P110" s="8">
        <v>23576.400000000001</v>
      </c>
      <c r="Q110" s="16">
        <f>Table1[[#This Row],[סכום כולל מע"מ]]-Table1[[#This Row],[סכום לפני מעמ2]]</f>
        <v>3596.4000000000015</v>
      </c>
    </row>
    <row r="111" spans="2:17" x14ac:dyDescent="0.25">
      <c r="B111" s="9">
        <v>109</v>
      </c>
      <c r="C111" s="9" t="s">
        <v>15</v>
      </c>
      <c r="D111" s="9">
        <v>109</v>
      </c>
      <c r="E111" s="9" t="s">
        <v>256</v>
      </c>
      <c r="F111" s="9">
        <v>60475</v>
      </c>
      <c r="G111" s="10">
        <v>46008</v>
      </c>
      <c r="H111" s="11" t="s">
        <v>257</v>
      </c>
      <c r="I111" s="11" t="s">
        <v>18</v>
      </c>
      <c r="J111" s="11" t="s">
        <v>31</v>
      </c>
      <c r="K111" s="11"/>
      <c r="L111" s="11" t="s">
        <v>20</v>
      </c>
      <c r="M111" s="12" t="s">
        <v>32</v>
      </c>
      <c r="N111" s="11" t="s">
        <v>22</v>
      </c>
      <c r="O111" s="4">
        <v>19960</v>
      </c>
      <c r="P111" s="8">
        <v>23552.799999999999</v>
      </c>
      <c r="Q111" s="16">
        <f>Table1[[#This Row],[סכום כולל מע"מ]]-Table1[[#This Row],[סכום לפני מעמ2]]</f>
        <v>3592.7999999999993</v>
      </c>
    </row>
    <row r="112" spans="2:17" x14ac:dyDescent="0.25">
      <c r="B112" s="9">
        <v>110</v>
      </c>
      <c r="C112" s="9" t="s">
        <v>15</v>
      </c>
      <c r="D112" s="9">
        <v>110</v>
      </c>
      <c r="E112" s="9" t="s">
        <v>258</v>
      </c>
      <c r="F112" s="9">
        <v>60475</v>
      </c>
      <c r="G112" s="10">
        <v>46009</v>
      </c>
      <c r="H112" s="11" t="s">
        <v>259</v>
      </c>
      <c r="I112" s="11" t="s">
        <v>18</v>
      </c>
      <c r="J112" s="11" t="s">
        <v>19</v>
      </c>
      <c r="K112" s="11"/>
      <c r="L112" s="11" t="s">
        <v>20</v>
      </c>
      <c r="M112" s="12" t="s">
        <v>21</v>
      </c>
      <c r="N112" s="11" t="s">
        <v>22</v>
      </c>
      <c r="O112" s="4">
        <v>19980</v>
      </c>
      <c r="P112" s="8">
        <v>23576.400000000001</v>
      </c>
      <c r="Q112" s="16">
        <f>Table1[[#This Row],[סכום כולל מע"מ]]-Table1[[#This Row],[סכום לפני מעמ2]]</f>
        <v>3596.4000000000015</v>
      </c>
    </row>
    <row r="113" spans="2:17" x14ac:dyDescent="0.25">
      <c r="B113" s="9">
        <v>111</v>
      </c>
      <c r="C113" s="9" t="s">
        <v>15</v>
      </c>
      <c r="D113" s="9">
        <v>111</v>
      </c>
      <c r="E113" s="9" t="s">
        <v>260</v>
      </c>
      <c r="F113" s="9">
        <v>60475</v>
      </c>
      <c r="G113" s="10">
        <v>46012</v>
      </c>
      <c r="H113" s="11" t="s">
        <v>261</v>
      </c>
      <c r="I113" s="11" t="s">
        <v>18</v>
      </c>
      <c r="J113" s="11" t="s">
        <v>35</v>
      </c>
      <c r="K113" s="11"/>
      <c r="L113" s="11" t="s">
        <v>20</v>
      </c>
      <c r="M113" s="12" t="s">
        <v>36</v>
      </c>
      <c r="N113" s="11" t="s">
        <v>22</v>
      </c>
      <c r="O113" s="4">
        <v>19960</v>
      </c>
      <c r="P113" s="8">
        <v>23552.799999999999</v>
      </c>
      <c r="Q113" s="16">
        <f>Table1[[#This Row],[סכום כולל מע"מ]]-Table1[[#This Row],[סכום לפני מעמ2]]</f>
        <v>3592.7999999999993</v>
      </c>
    </row>
    <row r="114" spans="2:17" x14ac:dyDescent="0.25">
      <c r="B114" s="9">
        <v>112</v>
      </c>
      <c r="C114" s="9" t="s">
        <v>15</v>
      </c>
      <c r="D114" s="9">
        <v>112</v>
      </c>
      <c r="E114" s="9" t="s">
        <v>262</v>
      </c>
      <c r="F114" s="9">
        <v>60475</v>
      </c>
      <c r="G114" s="10">
        <v>46013</v>
      </c>
      <c r="H114" s="11" t="s">
        <v>263</v>
      </c>
      <c r="I114" s="11" t="s">
        <v>18</v>
      </c>
      <c r="J114" s="11" t="s">
        <v>35</v>
      </c>
      <c r="K114" s="11"/>
      <c r="L114" s="11" t="s">
        <v>20</v>
      </c>
      <c r="M114" s="12" t="s">
        <v>36</v>
      </c>
      <c r="N114" s="11" t="s">
        <v>22</v>
      </c>
      <c r="O114" s="4">
        <v>19980</v>
      </c>
      <c r="P114" s="8">
        <v>23576.400000000001</v>
      </c>
      <c r="Q114" s="16">
        <f>Table1[[#This Row],[סכום כולל מע"מ]]-Table1[[#This Row],[סכום לפני מעמ2]]</f>
        <v>3596.4000000000015</v>
      </c>
    </row>
    <row r="115" spans="2:17" x14ac:dyDescent="0.25">
      <c r="B115" s="9">
        <v>113</v>
      </c>
      <c r="C115" s="9" t="s">
        <v>15</v>
      </c>
      <c r="D115" s="9">
        <v>113</v>
      </c>
      <c r="E115" s="9" t="s">
        <v>264</v>
      </c>
      <c r="F115" s="9">
        <v>60475</v>
      </c>
      <c r="G115" s="10">
        <v>46012</v>
      </c>
      <c r="H115" s="11" t="s">
        <v>265</v>
      </c>
      <c r="I115" s="11" t="s">
        <v>18</v>
      </c>
      <c r="J115" s="11" t="s">
        <v>31</v>
      </c>
      <c r="K115" s="11"/>
      <c r="L115" s="11" t="s">
        <v>20</v>
      </c>
      <c r="M115" s="12" t="s">
        <v>32</v>
      </c>
      <c r="N115" s="11" t="s">
        <v>22</v>
      </c>
      <c r="O115" s="4">
        <v>19960</v>
      </c>
      <c r="P115" s="8">
        <v>23552.799999999999</v>
      </c>
      <c r="Q115" s="16">
        <f>Table1[[#This Row],[סכום כולל מע"מ]]-Table1[[#This Row],[סכום לפני מעמ2]]</f>
        <v>3592.7999999999993</v>
      </c>
    </row>
    <row r="116" spans="2:17" x14ac:dyDescent="0.25">
      <c r="B116" s="9">
        <v>114</v>
      </c>
      <c r="C116" s="9" t="s">
        <v>15</v>
      </c>
      <c r="D116" s="9">
        <v>114</v>
      </c>
      <c r="E116" s="9" t="s">
        <v>266</v>
      </c>
      <c r="F116" s="9">
        <v>60475</v>
      </c>
      <c r="G116" s="10">
        <v>46013</v>
      </c>
      <c r="H116" s="11" t="s">
        <v>267</v>
      </c>
      <c r="I116" s="11" t="s">
        <v>18</v>
      </c>
      <c r="J116" s="11" t="s">
        <v>19</v>
      </c>
      <c r="K116" s="11"/>
      <c r="L116" s="11" t="s">
        <v>20</v>
      </c>
      <c r="M116" s="12" t="s">
        <v>21</v>
      </c>
      <c r="N116" s="11" t="s">
        <v>22</v>
      </c>
      <c r="O116" s="4">
        <v>19970</v>
      </c>
      <c r="P116" s="8">
        <v>23564.6</v>
      </c>
      <c r="Q116" s="16">
        <f>Table1[[#This Row],[סכום כולל מע"מ]]-Table1[[#This Row],[סכום לפני מעמ2]]</f>
        <v>3594.5999999999985</v>
      </c>
    </row>
    <row r="117" spans="2:17" x14ac:dyDescent="0.25">
      <c r="B117" s="9">
        <v>115</v>
      </c>
      <c r="C117" s="9" t="s">
        <v>15</v>
      </c>
      <c r="D117" s="9">
        <v>115</v>
      </c>
      <c r="E117" s="9" t="s">
        <v>268</v>
      </c>
      <c r="F117" s="9">
        <v>60475</v>
      </c>
      <c r="G117" s="10">
        <v>46013</v>
      </c>
      <c r="H117" s="11" t="s">
        <v>269</v>
      </c>
      <c r="I117" s="11" t="s">
        <v>18</v>
      </c>
      <c r="J117" s="11" t="s">
        <v>31</v>
      </c>
      <c r="K117" s="11"/>
      <c r="L117" s="11" t="s">
        <v>20</v>
      </c>
      <c r="M117" s="12" t="s">
        <v>32</v>
      </c>
      <c r="N117" s="11" t="s">
        <v>22</v>
      </c>
      <c r="O117" s="4">
        <v>19850</v>
      </c>
      <c r="P117" s="8">
        <v>23423</v>
      </c>
      <c r="Q117" s="16">
        <f>Table1[[#This Row],[סכום כולל מע"מ]]-Table1[[#This Row],[סכום לפני מעמ2]]</f>
        <v>3573</v>
      </c>
    </row>
    <row r="118" spans="2:17" x14ac:dyDescent="0.25">
      <c r="B118" s="9">
        <v>116</v>
      </c>
      <c r="C118" s="9" t="s">
        <v>15</v>
      </c>
      <c r="D118" s="9">
        <v>116</v>
      </c>
      <c r="E118" s="9" t="s">
        <v>270</v>
      </c>
      <c r="F118" s="9">
        <v>60475</v>
      </c>
      <c r="G118" s="10">
        <v>46013</v>
      </c>
      <c r="H118" s="11" t="s">
        <v>271</v>
      </c>
      <c r="I118" s="11" t="s">
        <v>18</v>
      </c>
      <c r="J118" s="11" t="s">
        <v>31</v>
      </c>
      <c r="K118" s="11"/>
      <c r="L118" s="11" t="s">
        <v>20</v>
      </c>
      <c r="M118" s="12" t="s">
        <v>32</v>
      </c>
      <c r="N118" s="11" t="s">
        <v>22</v>
      </c>
      <c r="O118" s="4">
        <v>19960</v>
      </c>
      <c r="P118" s="8">
        <v>23552.799999999999</v>
      </c>
      <c r="Q118" s="16">
        <f>Table1[[#This Row],[סכום כולל מע"מ]]-Table1[[#This Row],[סכום לפני מעמ2]]</f>
        <v>3592.7999999999993</v>
      </c>
    </row>
    <row r="119" spans="2:17" x14ac:dyDescent="0.25">
      <c r="B119" s="9">
        <v>117</v>
      </c>
      <c r="C119" s="9" t="s">
        <v>15</v>
      </c>
      <c r="D119" s="9">
        <v>117</v>
      </c>
      <c r="E119" s="9" t="s">
        <v>272</v>
      </c>
      <c r="F119" s="9">
        <v>60475</v>
      </c>
      <c r="G119" s="10">
        <v>46013</v>
      </c>
      <c r="H119" s="11" t="s">
        <v>273</v>
      </c>
      <c r="I119" s="11" t="s">
        <v>18</v>
      </c>
      <c r="J119" s="11" t="s">
        <v>35</v>
      </c>
      <c r="K119" s="11"/>
      <c r="L119" s="11" t="s">
        <v>20</v>
      </c>
      <c r="M119" s="12" t="s">
        <v>36</v>
      </c>
      <c r="N119" s="11" t="s">
        <v>22</v>
      </c>
      <c r="O119" s="4">
        <v>19960</v>
      </c>
      <c r="P119" s="8">
        <v>23552.799999999999</v>
      </c>
      <c r="Q119" s="16">
        <f>Table1[[#This Row],[סכום כולל מע"מ]]-Table1[[#This Row],[סכום לפני מעמ2]]</f>
        <v>3592.7999999999993</v>
      </c>
    </row>
    <row r="120" spans="2:17" x14ac:dyDescent="0.25">
      <c r="B120" s="9">
        <v>118</v>
      </c>
      <c r="C120" s="9" t="s">
        <v>15</v>
      </c>
      <c r="D120" s="9">
        <v>118</v>
      </c>
      <c r="E120" s="9" t="s">
        <v>274</v>
      </c>
      <c r="F120" s="9">
        <v>60475</v>
      </c>
      <c r="G120" s="10">
        <v>46014</v>
      </c>
      <c r="H120" s="11" t="s">
        <v>275</v>
      </c>
      <c r="I120" s="11" t="s">
        <v>18</v>
      </c>
      <c r="J120" s="11" t="s">
        <v>25</v>
      </c>
      <c r="K120" s="11"/>
      <c r="L120" s="11" t="s">
        <v>20</v>
      </c>
      <c r="M120" s="12" t="s">
        <v>26</v>
      </c>
      <c r="N120" s="11" t="s">
        <v>22</v>
      </c>
      <c r="O120" s="4">
        <v>19970</v>
      </c>
      <c r="P120" s="8">
        <v>23564.6</v>
      </c>
      <c r="Q120" s="16">
        <f>Table1[[#This Row],[סכום כולל מע"מ]]-Table1[[#This Row],[סכום לפני מעמ2]]</f>
        <v>3594.5999999999985</v>
      </c>
    </row>
    <row r="121" spans="2:17" x14ac:dyDescent="0.25">
      <c r="B121" s="9">
        <v>119</v>
      </c>
      <c r="C121" s="9" t="s">
        <v>15</v>
      </c>
      <c r="D121" s="9">
        <v>119</v>
      </c>
      <c r="E121" s="9" t="s">
        <v>276</v>
      </c>
      <c r="F121" s="9">
        <v>60475</v>
      </c>
      <c r="G121" s="10">
        <v>46014</v>
      </c>
      <c r="H121" s="11" t="s">
        <v>277</v>
      </c>
      <c r="I121" s="11" t="s">
        <v>18</v>
      </c>
      <c r="J121" s="11" t="s">
        <v>25</v>
      </c>
      <c r="K121" s="11"/>
      <c r="L121" s="11" t="s">
        <v>20</v>
      </c>
      <c r="M121" s="12" t="s">
        <v>26</v>
      </c>
      <c r="N121" s="11" t="s">
        <v>22</v>
      </c>
      <c r="O121" s="4">
        <v>19980</v>
      </c>
      <c r="P121" s="8">
        <v>23576.400000000001</v>
      </c>
      <c r="Q121" s="16">
        <f>Table1[[#This Row],[סכום כולל מע"מ]]-Table1[[#This Row],[סכום לפני מעמ2]]</f>
        <v>3596.4000000000015</v>
      </c>
    </row>
    <row r="122" spans="2:17" x14ac:dyDescent="0.25">
      <c r="B122" s="9">
        <v>120</v>
      </c>
      <c r="C122" s="9" t="s">
        <v>15</v>
      </c>
      <c r="D122" s="9">
        <v>120</v>
      </c>
      <c r="E122" s="9" t="s">
        <v>278</v>
      </c>
      <c r="F122" s="9">
        <v>60475</v>
      </c>
      <c r="G122" s="10">
        <v>46015</v>
      </c>
      <c r="H122" s="11" t="s">
        <v>279</v>
      </c>
      <c r="I122" s="11" t="s">
        <v>18</v>
      </c>
      <c r="J122" s="11" t="s">
        <v>31</v>
      </c>
      <c r="K122" s="11"/>
      <c r="L122" s="11" t="s">
        <v>20</v>
      </c>
      <c r="M122" s="12" t="s">
        <v>32</v>
      </c>
      <c r="N122" s="11" t="s">
        <v>22</v>
      </c>
      <c r="O122" s="4">
        <v>19980</v>
      </c>
      <c r="P122" s="8">
        <v>23576.400000000001</v>
      </c>
      <c r="Q122" s="16">
        <f>Table1[[#This Row],[סכום כולל מע"מ]]-Table1[[#This Row],[סכום לפני מעמ2]]</f>
        <v>3596.4000000000015</v>
      </c>
    </row>
    <row r="123" spans="2:17" x14ac:dyDescent="0.25">
      <c r="B123" s="9">
        <v>121</v>
      </c>
      <c r="C123" s="9" t="s">
        <v>15</v>
      </c>
      <c r="D123" s="9">
        <v>121</v>
      </c>
      <c r="E123" s="9" t="s">
        <v>280</v>
      </c>
      <c r="F123" s="9">
        <v>60475</v>
      </c>
      <c r="G123" s="10">
        <v>46015</v>
      </c>
      <c r="H123" s="11" t="s">
        <v>281</v>
      </c>
      <c r="I123" s="11" t="s">
        <v>18</v>
      </c>
      <c r="J123" s="11" t="s">
        <v>31</v>
      </c>
      <c r="K123" s="11"/>
      <c r="L123" s="11" t="s">
        <v>20</v>
      </c>
      <c r="M123" s="12" t="s">
        <v>32</v>
      </c>
      <c r="N123" s="11" t="s">
        <v>22</v>
      </c>
      <c r="O123" s="4">
        <v>19950</v>
      </c>
      <c r="P123" s="8">
        <v>23541</v>
      </c>
      <c r="Q123" s="16">
        <f>Table1[[#This Row],[סכום כולל מע"מ]]-Table1[[#This Row],[סכום לפני מעמ2]]</f>
        <v>3591</v>
      </c>
    </row>
    <row r="124" spans="2:17" x14ac:dyDescent="0.25">
      <c r="B124" s="9">
        <v>122</v>
      </c>
      <c r="C124" s="9" t="s">
        <v>15</v>
      </c>
      <c r="D124" s="9">
        <v>122</v>
      </c>
      <c r="E124" s="9" t="s">
        <v>282</v>
      </c>
      <c r="F124" s="9">
        <v>60475</v>
      </c>
      <c r="G124" s="10">
        <v>46016</v>
      </c>
      <c r="H124" s="11" t="s">
        <v>283</v>
      </c>
      <c r="I124" s="11" t="s">
        <v>18</v>
      </c>
      <c r="J124" s="11" t="s">
        <v>35</v>
      </c>
      <c r="K124" s="11"/>
      <c r="L124" s="11" t="s">
        <v>20</v>
      </c>
      <c r="M124" s="12" t="s">
        <v>36</v>
      </c>
      <c r="N124" s="11" t="s">
        <v>22</v>
      </c>
      <c r="O124" s="4">
        <v>19960</v>
      </c>
      <c r="P124" s="8">
        <v>23552.799999999999</v>
      </c>
      <c r="Q124" s="16">
        <f>Table1[[#This Row],[סכום כולל מע"מ]]-Table1[[#This Row],[סכום לפני מעמ2]]</f>
        <v>3592.7999999999993</v>
      </c>
    </row>
    <row r="125" spans="2:17" x14ac:dyDescent="0.25">
      <c r="B125" s="9">
        <v>123</v>
      </c>
      <c r="C125" s="9" t="s">
        <v>15</v>
      </c>
      <c r="D125" s="9">
        <v>123</v>
      </c>
      <c r="E125" s="9" t="s">
        <v>284</v>
      </c>
      <c r="F125" s="9">
        <v>60475</v>
      </c>
      <c r="G125" s="10">
        <v>46016</v>
      </c>
      <c r="H125" s="11" t="s">
        <v>285</v>
      </c>
      <c r="I125" s="11" t="s">
        <v>18</v>
      </c>
      <c r="J125" s="11" t="s">
        <v>25</v>
      </c>
      <c r="K125" s="11"/>
      <c r="L125" s="11" t="s">
        <v>20</v>
      </c>
      <c r="M125" s="12" t="s">
        <v>26</v>
      </c>
      <c r="N125" s="11" t="s">
        <v>22</v>
      </c>
      <c r="O125" s="4">
        <v>19950</v>
      </c>
      <c r="P125" s="8">
        <v>23541</v>
      </c>
      <c r="Q125" s="16">
        <f>Table1[[#This Row],[סכום כולל מע"מ]]-Table1[[#This Row],[סכום לפני מעמ2]]</f>
        <v>3591</v>
      </c>
    </row>
    <row r="126" spans="2:17" x14ac:dyDescent="0.25">
      <c r="B126" s="9">
        <v>124</v>
      </c>
      <c r="C126" s="9" t="s">
        <v>15</v>
      </c>
      <c r="D126" s="9">
        <v>124</v>
      </c>
      <c r="E126" s="9" t="s">
        <v>286</v>
      </c>
      <c r="F126" s="9">
        <v>60475</v>
      </c>
      <c r="G126" s="10">
        <v>46019</v>
      </c>
      <c r="H126" s="11" t="s">
        <v>287</v>
      </c>
      <c r="I126" s="11" t="s">
        <v>18</v>
      </c>
      <c r="J126" s="11" t="s">
        <v>19</v>
      </c>
      <c r="K126" s="11"/>
      <c r="L126" s="11" t="s">
        <v>20</v>
      </c>
      <c r="M126" s="12" t="s">
        <v>21</v>
      </c>
      <c r="N126" s="11" t="s">
        <v>22</v>
      </c>
      <c r="O126" s="4">
        <v>19960</v>
      </c>
      <c r="P126" s="8">
        <v>23552.799999999999</v>
      </c>
      <c r="Q126" s="16">
        <f>Table1[[#This Row],[סכום כולל מע"מ]]-Table1[[#This Row],[סכום לפני מעמ2]]</f>
        <v>3592.7999999999993</v>
      </c>
    </row>
    <row r="127" spans="2:17" x14ac:dyDescent="0.25">
      <c r="B127" s="9">
        <v>125</v>
      </c>
      <c r="C127" s="9" t="s">
        <v>15</v>
      </c>
      <c r="D127" s="9">
        <v>125</v>
      </c>
      <c r="E127" s="9" t="s">
        <v>288</v>
      </c>
      <c r="F127" s="9">
        <v>60475</v>
      </c>
      <c r="G127" s="10">
        <v>46019</v>
      </c>
      <c r="H127" s="11" t="s">
        <v>289</v>
      </c>
      <c r="I127" s="11" t="s">
        <v>18</v>
      </c>
      <c r="J127" s="11" t="s">
        <v>31</v>
      </c>
      <c r="K127" s="11"/>
      <c r="L127" s="11" t="s">
        <v>20</v>
      </c>
      <c r="M127" s="12" t="s">
        <v>32</v>
      </c>
      <c r="N127" s="11" t="s">
        <v>22</v>
      </c>
      <c r="O127" s="4">
        <v>19920</v>
      </c>
      <c r="P127" s="8">
        <v>23505.599999999999</v>
      </c>
      <c r="Q127" s="16">
        <f>Table1[[#This Row],[סכום כולל מע"מ]]-Table1[[#This Row],[סכום לפני מעמ2]]</f>
        <v>3585.5999999999985</v>
      </c>
    </row>
    <row r="128" spans="2:17" x14ac:dyDescent="0.25">
      <c r="B128" s="9">
        <v>126</v>
      </c>
      <c r="C128" s="9" t="s">
        <v>15</v>
      </c>
      <c r="D128" s="9">
        <v>126</v>
      </c>
      <c r="E128" s="9" t="s">
        <v>290</v>
      </c>
      <c r="F128" s="9">
        <v>60475</v>
      </c>
      <c r="G128" s="10">
        <v>46019</v>
      </c>
      <c r="H128" s="11" t="s">
        <v>291</v>
      </c>
      <c r="I128" s="11" t="s">
        <v>18</v>
      </c>
      <c r="J128" s="11" t="s">
        <v>35</v>
      </c>
      <c r="K128" s="11"/>
      <c r="L128" s="11" t="s">
        <v>20</v>
      </c>
      <c r="M128" s="12" t="s">
        <v>36</v>
      </c>
      <c r="N128" s="11" t="s">
        <v>22</v>
      </c>
      <c r="O128" s="4">
        <v>19950</v>
      </c>
      <c r="P128" s="8">
        <v>23541</v>
      </c>
      <c r="Q128" s="16">
        <f>Table1[[#This Row],[סכום כולל מע"מ]]-Table1[[#This Row],[סכום לפני מעמ2]]</f>
        <v>3591</v>
      </c>
    </row>
    <row r="129" spans="2:17" x14ac:dyDescent="0.25">
      <c r="B129" s="9">
        <v>127</v>
      </c>
      <c r="C129" s="9" t="s">
        <v>15</v>
      </c>
      <c r="D129" s="9">
        <v>127</v>
      </c>
      <c r="E129" s="9" t="s">
        <v>292</v>
      </c>
      <c r="F129" s="9">
        <v>60475</v>
      </c>
      <c r="G129" s="10">
        <v>46019</v>
      </c>
      <c r="H129" s="11" t="s">
        <v>293</v>
      </c>
      <c r="I129" s="11" t="s">
        <v>18</v>
      </c>
      <c r="J129" s="11" t="s">
        <v>25</v>
      </c>
      <c r="K129" s="11"/>
      <c r="L129" s="11" t="s">
        <v>20</v>
      </c>
      <c r="M129" s="12" t="s">
        <v>26</v>
      </c>
      <c r="N129" s="11" t="s">
        <v>22</v>
      </c>
      <c r="O129" s="4">
        <v>19950</v>
      </c>
      <c r="P129" s="8">
        <v>23541</v>
      </c>
      <c r="Q129" s="16">
        <f>Table1[[#This Row],[סכום כולל מע"מ]]-Table1[[#This Row],[סכום לפני מעמ2]]</f>
        <v>3591</v>
      </c>
    </row>
    <row r="130" spans="2:17" x14ac:dyDescent="0.25">
      <c r="B130" s="9">
        <v>128</v>
      </c>
      <c r="C130" s="9" t="s">
        <v>15</v>
      </c>
      <c r="D130" s="9">
        <v>128</v>
      </c>
      <c r="E130" s="9" t="s">
        <v>294</v>
      </c>
      <c r="F130" s="9">
        <v>60475</v>
      </c>
      <c r="G130" s="10">
        <v>46019</v>
      </c>
      <c r="H130" s="11" t="s">
        <v>295</v>
      </c>
      <c r="I130" s="11" t="s">
        <v>18</v>
      </c>
      <c r="J130" s="11" t="s">
        <v>35</v>
      </c>
      <c r="K130" s="11"/>
      <c r="L130" s="11" t="s">
        <v>20</v>
      </c>
      <c r="M130" s="12" t="s">
        <v>36</v>
      </c>
      <c r="N130" s="11" t="s">
        <v>22</v>
      </c>
      <c r="O130" s="4">
        <v>19960</v>
      </c>
      <c r="P130" s="8">
        <v>23552.799999999999</v>
      </c>
      <c r="Q130" s="16">
        <f>Table1[[#This Row],[סכום כולל מע"מ]]-Table1[[#This Row],[סכום לפני מעמ2]]</f>
        <v>3592.7999999999993</v>
      </c>
    </row>
    <row r="131" spans="2:17" x14ac:dyDescent="0.25">
      <c r="B131" s="9">
        <v>129</v>
      </c>
      <c r="C131" s="9" t="s">
        <v>15</v>
      </c>
      <c r="D131" s="9">
        <v>129</v>
      </c>
      <c r="E131" s="9" t="s">
        <v>296</v>
      </c>
      <c r="F131" s="9">
        <v>60475</v>
      </c>
      <c r="G131" s="10">
        <v>46020</v>
      </c>
      <c r="H131" s="11" t="s">
        <v>297</v>
      </c>
      <c r="I131" s="11" t="s">
        <v>18</v>
      </c>
      <c r="J131" s="11" t="s">
        <v>19</v>
      </c>
      <c r="K131" s="11"/>
      <c r="L131" s="11" t="s">
        <v>20</v>
      </c>
      <c r="M131" s="12" t="s">
        <v>21</v>
      </c>
      <c r="N131" s="11" t="s">
        <v>22</v>
      </c>
      <c r="O131" s="4">
        <v>19970</v>
      </c>
      <c r="P131" s="8">
        <v>23564.6</v>
      </c>
      <c r="Q131" s="16">
        <f>Table1[[#This Row],[סכום כולל מע"מ]]-Table1[[#This Row],[סכום לפני מעמ2]]</f>
        <v>3594.5999999999985</v>
      </c>
    </row>
    <row r="132" spans="2:17" x14ac:dyDescent="0.25">
      <c r="B132" s="9">
        <v>130</v>
      </c>
      <c r="C132" s="9" t="s">
        <v>15</v>
      </c>
      <c r="D132" s="9">
        <v>130</v>
      </c>
      <c r="E132" s="9" t="s">
        <v>298</v>
      </c>
      <c r="F132" s="9">
        <v>60475</v>
      </c>
      <c r="G132" s="10">
        <v>46020</v>
      </c>
      <c r="H132" s="11" t="s">
        <v>299</v>
      </c>
      <c r="I132" s="11" t="s">
        <v>18</v>
      </c>
      <c r="J132" s="11" t="s">
        <v>19</v>
      </c>
      <c r="K132" s="11"/>
      <c r="L132" s="11" t="s">
        <v>20</v>
      </c>
      <c r="M132" s="12" t="s">
        <v>21</v>
      </c>
      <c r="N132" s="11" t="s">
        <v>22</v>
      </c>
      <c r="O132" s="4">
        <v>19950</v>
      </c>
      <c r="P132" s="8">
        <v>23541</v>
      </c>
      <c r="Q132" s="16">
        <f>Table1[[#This Row],[סכום כולל מע"מ]]-Table1[[#This Row],[סכום לפני מעמ2]]</f>
        <v>3591</v>
      </c>
    </row>
    <row r="133" spans="2:17" x14ac:dyDescent="0.25">
      <c r="B133" s="9">
        <v>131</v>
      </c>
      <c r="C133" s="9" t="s">
        <v>15</v>
      </c>
      <c r="D133" s="9">
        <v>131</v>
      </c>
      <c r="E133" s="9" t="s">
        <v>300</v>
      </c>
      <c r="F133" s="9">
        <v>60475</v>
      </c>
      <c r="G133" s="10">
        <v>46020</v>
      </c>
      <c r="H133" s="11" t="s">
        <v>301</v>
      </c>
      <c r="I133" s="11" t="s">
        <v>18</v>
      </c>
      <c r="J133" s="11" t="s">
        <v>25</v>
      </c>
      <c r="K133" s="11"/>
      <c r="L133" s="11" t="s">
        <v>20</v>
      </c>
      <c r="M133" s="12" t="s">
        <v>26</v>
      </c>
      <c r="N133" s="11" t="s">
        <v>22</v>
      </c>
      <c r="O133" s="4">
        <v>19960</v>
      </c>
      <c r="P133" s="8">
        <v>23552.799999999999</v>
      </c>
      <c r="Q133" s="16">
        <f>Table1[[#This Row],[סכום כולל מע"מ]]-Table1[[#This Row],[סכום לפני מעמ2]]</f>
        <v>3592.7999999999993</v>
      </c>
    </row>
    <row r="134" spans="2:17" x14ac:dyDescent="0.25">
      <c r="B134" s="9">
        <v>132</v>
      </c>
      <c r="C134" s="9" t="s">
        <v>15</v>
      </c>
      <c r="D134" s="9">
        <v>132</v>
      </c>
      <c r="E134" s="9" t="s">
        <v>302</v>
      </c>
      <c r="F134" s="9">
        <v>60475</v>
      </c>
      <c r="G134" s="10">
        <v>46020</v>
      </c>
      <c r="H134" s="11" t="s">
        <v>303</v>
      </c>
      <c r="I134" s="11" t="s">
        <v>18</v>
      </c>
      <c r="J134" s="11" t="s">
        <v>39</v>
      </c>
      <c r="K134" s="11"/>
      <c r="L134" s="11" t="s">
        <v>20</v>
      </c>
      <c r="M134" s="12" t="s">
        <v>40</v>
      </c>
      <c r="N134" s="11" t="s">
        <v>22</v>
      </c>
      <c r="O134" s="4">
        <v>19940</v>
      </c>
      <c r="P134" s="8">
        <v>23529.200000000001</v>
      </c>
      <c r="Q134" s="16">
        <f>Table1[[#This Row],[סכום כולל מע"מ]]-Table1[[#This Row],[סכום לפני מעמ2]]</f>
        <v>3589.2000000000007</v>
      </c>
    </row>
    <row r="135" spans="2:17" x14ac:dyDescent="0.25">
      <c r="B135" s="9">
        <v>133</v>
      </c>
      <c r="C135" s="9" t="s">
        <v>15</v>
      </c>
      <c r="D135" s="9">
        <v>133</v>
      </c>
      <c r="E135" s="9" t="s">
        <v>304</v>
      </c>
      <c r="F135" s="9">
        <v>60475</v>
      </c>
      <c r="G135" s="10">
        <v>46021</v>
      </c>
      <c r="H135" s="11" t="s">
        <v>305</v>
      </c>
      <c r="I135" s="11" t="s">
        <v>18</v>
      </c>
      <c r="J135" s="11" t="s">
        <v>31</v>
      </c>
      <c r="K135" s="11"/>
      <c r="L135" s="11" t="s">
        <v>20</v>
      </c>
      <c r="M135" s="12" t="s">
        <v>32</v>
      </c>
      <c r="N135" s="11" t="s">
        <v>22</v>
      </c>
      <c r="O135" s="4">
        <v>19950</v>
      </c>
      <c r="P135" s="8">
        <v>23541</v>
      </c>
      <c r="Q135" s="16">
        <f>Table1[[#This Row],[סכום כולל מע"מ]]-Table1[[#This Row],[סכום לפני מעמ2]]</f>
        <v>3591</v>
      </c>
    </row>
    <row r="136" spans="2:17" x14ac:dyDescent="0.25">
      <c r="B136" s="9">
        <v>134</v>
      </c>
      <c r="C136" s="9" t="s">
        <v>15</v>
      </c>
      <c r="D136" s="9">
        <v>134</v>
      </c>
      <c r="E136" s="9" t="s">
        <v>306</v>
      </c>
      <c r="F136" s="9">
        <v>60475</v>
      </c>
      <c r="G136" s="10">
        <v>46021</v>
      </c>
      <c r="H136" s="11" t="s">
        <v>307</v>
      </c>
      <c r="I136" s="11" t="s">
        <v>18</v>
      </c>
      <c r="J136" s="11" t="s">
        <v>31</v>
      </c>
      <c r="K136" s="11"/>
      <c r="L136" s="11" t="s">
        <v>20</v>
      </c>
      <c r="M136" s="12" t="s">
        <v>32</v>
      </c>
      <c r="N136" s="11" t="s">
        <v>22</v>
      </c>
      <c r="O136" s="4">
        <v>19980</v>
      </c>
      <c r="P136" s="8">
        <v>23576.400000000001</v>
      </c>
      <c r="Q136" s="16">
        <f>Table1[[#This Row],[סכום כולל מע"מ]]-Table1[[#This Row],[סכום לפני מעמ2]]</f>
        <v>3596.4000000000015</v>
      </c>
    </row>
    <row r="137" spans="2:17" x14ac:dyDescent="0.25">
      <c r="B137" s="9">
        <v>135</v>
      </c>
      <c r="C137" s="9" t="s">
        <v>15</v>
      </c>
      <c r="D137" s="9">
        <v>135</v>
      </c>
      <c r="E137" s="9" t="s">
        <v>308</v>
      </c>
      <c r="F137" s="9">
        <v>60475</v>
      </c>
      <c r="G137" s="10">
        <v>46021</v>
      </c>
      <c r="H137" s="11" t="s">
        <v>309</v>
      </c>
      <c r="I137" s="11" t="s">
        <v>18</v>
      </c>
      <c r="J137" s="11" t="s">
        <v>31</v>
      </c>
      <c r="K137" s="11"/>
      <c r="L137" s="11" t="s">
        <v>20</v>
      </c>
      <c r="M137" s="12" t="s">
        <v>32</v>
      </c>
      <c r="N137" s="11" t="s">
        <v>22</v>
      </c>
      <c r="O137" s="4">
        <v>19950</v>
      </c>
      <c r="P137" s="8">
        <v>23541</v>
      </c>
      <c r="Q137" s="16">
        <f>Table1[[#This Row],[סכום כולל מע"מ]]-Table1[[#This Row],[סכום לפני מעמ2]]</f>
        <v>3591</v>
      </c>
    </row>
    <row r="138" spans="2:17" x14ac:dyDescent="0.25">
      <c r="B138" s="9">
        <v>136</v>
      </c>
      <c r="C138" s="9" t="s">
        <v>15</v>
      </c>
      <c r="D138" s="9">
        <v>136</v>
      </c>
      <c r="E138" s="9" t="s">
        <v>310</v>
      </c>
      <c r="F138" s="9">
        <v>60475</v>
      </c>
      <c r="G138" s="10">
        <v>46021</v>
      </c>
      <c r="H138" s="11" t="s">
        <v>311</v>
      </c>
      <c r="I138" s="11" t="s">
        <v>18</v>
      </c>
      <c r="J138" s="11" t="s">
        <v>25</v>
      </c>
      <c r="K138" s="11"/>
      <c r="L138" s="11" t="s">
        <v>20</v>
      </c>
      <c r="M138" s="12" t="s">
        <v>26</v>
      </c>
      <c r="N138" s="11" t="s">
        <v>22</v>
      </c>
      <c r="O138" s="4">
        <v>19950</v>
      </c>
      <c r="P138" s="8">
        <v>23541</v>
      </c>
      <c r="Q138" s="16">
        <f>Table1[[#This Row],[סכום כולל מע"מ]]-Table1[[#This Row],[סכום לפני מעמ2]]</f>
        <v>3591</v>
      </c>
    </row>
    <row r="139" spans="2:17" x14ac:dyDescent="0.25">
      <c r="B139" s="9">
        <v>137</v>
      </c>
      <c r="C139" s="9" t="s">
        <v>15</v>
      </c>
      <c r="D139" s="9">
        <v>137</v>
      </c>
      <c r="E139" s="9" t="s">
        <v>312</v>
      </c>
      <c r="F139" s="9">
        <v>60475</v>
      </c>
      <c r="G139" s="10">
        <v>46022</v>
      </c>
      <c r="H139" s="11" t="s">
        <v>313</v>
      </c>
      <c r="I139" s="11" t="s">
        <v>18</v>
      </c>
      <c r="J139" s="11" t="s">
        <v>19</v>
      </c>
      <c r="K139" s="11"/>
      <c r="L139" s="11" t="s">
        <v>20</v>
      </c>
      <c r="M139" s="12" t="s">
        <v>21</v>
      </c>
      <c r="N139" s="11" t="s">
        <v>22</v>
      </c>
      <c r="O139" s="4">
        <v>19960</v>
      </c>
      <c r="P139" s="8">
        <v>23552.799999999999</v>
      </c>
      <c r="Q139" s="16">
        <f>Table1[[#This Row],[סכום כולל מע"מ]]-Table1[[#This Row],[סכום לפני מעמ2]]</f>
        <v>3592.7999999999993</v>
      </c>
    </row>
    <row r="140" spans="2:17" x14ac:dyDescent="0.25">
      <c r="B140" s="9">
        <v>138</v>
      </c>
      <c r="C140" s="9" t="s">
        <v>15</v>
      </c>
      <c r="D140" s="9">
        <v>138</v>
      </c>
      <c r="E140" s="9" t="s">
        <v>314</v>
      </c>
      <c r="F140" s="9">
        <v>60475</v>
      </c>
      <c r="G140" s="10">
        <v>46022</v>
      </c>
      <c r="H140" s="11" t="s">
        <v>315</v>
      </c>
      <c r="I140" s="11" t="s">
        <v>18</v>
      </c>
      <c r="J140" s="11" t="s">
        <v>31</v>
      </c>
      <c r="K140" s="11"/>
      <c r="L140" s="11" t="s">
        <v>20</v>
      </c>
      <c r="M140" s="12" t="s">
        <v>32</v>
      </c>
      <c r="N140" s="11" t="s">
        <v>22</v>
      </c>
      <c r="O140" s="4">
        <v>19930</v>
      </c>
      <c r="P140" s="8">
        <v>23517.4</v>
      </c>
      <c r="Q140" s="16">
        <f>Table1[[#This Row],[סכום כולל מע"מ]]-Table1[[#This Row],[סכום לפני מעמ2]]</f>
        <v>3587.4000000000015</v>
      </c>
    </row>
    <row r="141" spans="2:17" x14ac:dyDescent="0.25">
      <c r="B141" s="9">
        <v>139</v>
      </c>
      <c r="C141" s="9" t="s">
        <v>15</v>
      </c>
      <c r="D141" s="9">
        <v>139</v>
      </c>
      <c r="E141" s="9" t="s">
        <v>316</v>
      </c>
      <c r="F141" s="9">
        <v>60475</v>
      </c>
      <c r="G141" s="10">
        <v>46022</v>
      </c>
      <c r="H141" s="11" t="s">
        <v>317</v>
      </c>
      <c r="I141" s="11" t="s">
        <v>18</v>
      </c>
      <c r="J141" s="11" t="s">
        <v>19</v>
      </c>
      <c r="K141" s="11"/>
      <c r="L141" s="11" t="s">
        <v>20</v>
      </c>
      <c r="M141" s="12" t="s">
        <v>21</v>
      </c>
      <c r="N141" s="11" t="s">
        <v>22</v>
      </c>
      <c r="O141" s="4">
        <v>19950</v>
      </c>
      <c r="P141" s="8">
        <v>23541</v>
      </c>
      <c r="Q141" s="16">
        <f>Table1[[#This Row],[סכום כולל מע"מ]]-Table1[[#This Row],[סכום לפני מעמ2]]</f>
        <v>3591</v>
      </c>
    </row>
    <row r="142" spans="2:17" x14ac:dyDescent="0.25">
      <c r="B142" s="9">
        <v>140</v>
      </c>
      <c r="C142" s="9" t="s">
        <v>15</v>
      </c>
      <c r="D142" s="9">
        <v>140</v>
      </c>
      <c r="E142" s="9" t="s">
        <v>318</v>
      </c>
      <c r="F142" s="9">
        <v>60475</v>
      </c>
      <c r="G142" s="10">
        <v>46022</v>
      </c>
      <c r="H142" s="11" t="s">
        <v>319</v>
      </c>
      <c r="I142" s="11" t="s">
        <v>18</v>
      </c>
      <c r="J142" s="11" t="s">
        <v>31</v>
      </c>
      <c r="K142" s="11"/>
      <c r="L142" s="11" t="s">
        <v>20</v>
      </c>
      <c r="M142" s="12" t="s">
        <v>32</v>
      </c>
      <c r="N142" s="11" t="s">
        <v>22</v>
      </c>
      <c r="O142" s="4">
        <v>19920</v>
      </c>
      <c r="P142" s="8">
        <v>23505.599999999999</v>
      </c>
      <c r="Q142" s="16">
        <f>Table1[[#This Row],[סכום כולל מע"מ]]-Table1[[#This Row],[סכום לפני מעמ2]]</f>
        <v>3585.5999999999985</v>
      </c>
    </row>
    <row r="143" spans="2:17" x14ac:dyDescent="0.25">
      <c r="B143" s="9">
        <v>141</v>
      </c>
      <c r="C143" s="9" t="s">
        <v>15</v>
      </c>
      <c r="D143" s="9">
        <v>141</v>
      </c>
      <c r="E143" s="9" t="s">
        <v>320</v>
      </c>
      <c r="F143" s="9">
        <v>60475</v>
      </c>
      <c r="G143" s="10">
        <v>46022</v>
      </c>
      <c r="H143" s="11" t="s">
        <v>321</v>
      </c>
      <c r="I143" s="11" t="s">
        <v>18</v>
      </c>
      <c r="J143" s="11" t="s">
        <v>31</v>
      </c>
      <c r="K143" s="11"/>
      <c r="L143" s="11" t="s">
        <v>20</v>
      </c>
      <c r="M143" s="12" t="s">
        <v>32</v>
      </c>
      <c r="N143" s="11" t="s">
        <v>22</v>
      </c>
      <c r="O143" s="4">
        <v>18820</v>
      </c>
      <c r="P143" s="8">
        <v>22207.599999999999</v>
      </c>
      <c r="Q143" s="16">
        <f>Table1[[#This Row],[סכום כולל מע"מ]]-Table1[[#This Row],[סכום לפני מעמ2]]</f>
        <v>3387.5999999999985</v>
      </c>
    </row>
    <row r="144" spans="2:17" x14ac:dyDescent="0.25">
      <c r="B144" s="9">
        <v>142</v>
      </c>
      <c r="C144" s="9" t="s">
        <v>15</v>
      </c>
      <c r="D144" s="9">
        <v>142</v>
      </c>
      <c r="E144" s="9" t="s">
        <v>322</v>
      </c>
      <c r="F144" s="9">
        <v>60475</v>
      </c>
      <c r="G144" s="10">
        <v>45992</v>
      </c>
      <c r="H144" s="11" t="s">
        <v>323</v>
      </c>
      <c r="I144" s="11" t="s">
        <v>18</v>
      </c>
      <c r="J144" s="11" t="s">
        <v>39</v>
      </c>
      <c r="K144" s="11"/>
      <c r="L144" s="11" t="s">
        <v>20</v>
      </c>
      <c r="M144" s="12" t="s">
        <v>40</v>
      </c>
      <c r="N144" s="11" t="s">
        <v>22</v>
      </c>
      <c r="O144" s="4">
        <v>19820</v>
      </c>
      <c r="P144" s="8">
        <v>23387.599999999999</v>
      </c>
      <c r="Q144" s="16">
        <f>Table1[[#This Row],[סכום כולל מע"מ]]-Table1[[#This Row],[סכום לפני מעמ2]]</f>
        <v>3567.5999999999985</v>
      </c>
    </row>
    <row r="145" spans="2:17" x14ac:dyDescent="0.25">
      <c r="B145" s="9">
        <v>143</v>
      </c>
      <c r="C145" s="9" t="s">
        <v>15</v>
      </c>
      <c r="D145" s="9">
        <v>143</v>
      </c>
      <c r="E145" s="9" t="s">
        <v>324</v>
      </c>
      <c r="F145" s="9">
        <v>60475</v>
      </c>
      <c r="G145" s="10">
        <v>45992</v>
      </c>
      <c r="H145" s="11" t="s">
        <v>325</v>
      </c>
      <c r="I145" s="11" t="s">
        <v>18</v>
      </c>
      <c r="J145" s="11" t="s">
        <v>25</v>
      </c>
      <c r="K145" s="11"/>
      <c r="L145" s="11" t="s">
        <v>20</v>
      </c>
      <c r="M145" s="12" t="s">
        <v>26</v>
      </c>
      <c r="N145" s="11" t="s">
        <v>22</v>
      </c>
      <c r="O145" s="4">
        <v>19970</v>
      </c>
      <c r="P145" s="8">
        <v>23564.6</v>
      </c>
      <c r="Q145" s="16">
        <f>Table1[[#This Row],[סכום כולל מע"מ]]-Table1[[#This Row],[סכום לפני מעמ2]]</f>
        <v>3594.5999999999985</v>
      </c>
    </row>
    <row r="146" spans="2:17" x14ac:dyDescent="0.25">
      <c r="B146" s="9">
        <v>144</v>
      </c>
      <c r="C146" s="9" t="s">
        <v>15</v>
      </c>
      <c r="D146" s="9">
        <v>144</v>
      </c>
      <c r="E146" s="9" t="s">
        <v>326</v>
      </c>
      <c r="F146" s="9">
        <v>60475</v>
      </c>
      <c r="G146" s="10">
        <v>45992</v>
      </c>
      <c r="H146" s="11" t="s">
        <v>327</v>
      </c>
      <c r="I146" s="11" t="s">
        <v>18</v>
      </c>
      <c r="J146" s="11" t="s">
        <v>39</v>
      </c>
      <c r="K146" s="11"/>
      <c r="L146" s="11" t="s">
        <v>20</v>
      </c>
      <c r="M146" s="12" t="s">
        <v>40</v>
      </c>
      <c r="N146" s="11" t="s">
        <v>22</v>
      </c>
      <c r="O146" s="4">
        <v>19960</v>
      </c>
      <c r="P146" s="8">
        <v>23552.799999999999</v>
      </c>
      <c r="Q146" s="16">
        <f>Table1[[#This Row],[סכום כולל מע"מ]]-Table1[[#This Row],[סכום לפני מעמ2]]</f>
        <v>3592.7999999999993</v>
      </c>
    </row>
    <row r="147" spans="2:17" x14ac:dyDescent="0.25">
      <c r="B147" s="9">
        <v>145</v>
      </c>
      <c r="C147" s="9" t="s">
        <v>15</v>
      </c>
      <c r="D147" s="9">
        <v>145</v>
      </c>
      <c r="E147" s="9" t="s">
        <v>328</v>
      </c>
      <c r="F147" s="9">
        <v>60475</v>
      </c>
      <c r="G147" s="10">
        <v>45993</v>
      </c>
      <c r="H147" s="11" t="s">
        <v>329</v>
      </c>
      <c r="I147" s="11" t="s">
        <v>18</v>
      </c>
      <c r="J147" s="11" t="s">
        <v>25</v>
      </c>
      <c r="K147" s="11"/>
      <c r="L147" s="11" t="s">
        <v>20</v>
      </c>
      <c r="M147" s="12" t="s">
        <v>26</v>
      </c>
      <c r="N147" s="11" t="s">
        <v>22</v>
      </c>
      <c r="O147" s="4">
        <v>19960</v>
      </c>
      <c r="P147" s="8">
        <v>23552.799999999999</v>
      </c>
      <c r="Q147" s="16">
        <f>Table1[[#This Row],[סכום כולל מע"מ]]-Table1[[#This Row],[סכום לפני מעמ2]]</f>
        <v>3592.7999999999993</v>
      </c>
    </row>
    <row r="148" spans="2:17" x14ac:dyDescent="0.25">
      <c r="B148" s="9">
        <v>146</v>
      </c>
      <c r="C148" s="9" t="s">
        <v>15</v>
      </c>
      <c r="D148" s="9">
        <v>146</v>
      </c>
      <c r="E148" s="9" t="s">
        <v>330</v>
      </c>
      <c r="F148" s="9">
        <v>60475</v>
      </c>
      <c r="G148" s="10">
        <v>45993</v>
      </c>
      <c r="H148" s="11" t="s">
        <v>331</v>
      </c>
      <c r="I148" s="11" t="s">
        <v>18</v>
      </c>
      <c r="J148" s="11" t="s">
        <v>31</v>
      </c>
      <c r="K148" s="11"/>
      <c r="L148" s="11" t="s">
        <v>20</v>
      </c>
      <c r="M148" s="12" t="s">
        <v>32</v>
      </c>
      <c r="N148" s="11" t="s">
        <v>22</v>
      </c>
      <c r="O148" s="4">
        <v>19970</v>
      </c>
      <c r="P148" s="8">
        <v>23564.6</v>
      </c>
      <c r="Q148" s="16">
        <f>Table1[[#This Row],[סכום כולל מע"מ]]-Table1[[#This Row],[סכום לפני מעמ2]]</f>
        <v>3594.5999999999985</v>
      </c>
    </row>
    <row r="149" spans="2:17" x14ac:dyDescent="0.25">
      <c r="B149" s="9">
        <v>147</v>
      </c>
      <c r="C149" s="9" t="s">
        <v>15</v>
      </c>
      <c r="D149" s="9">
        <v>147</v>
      </c>
      <c r="E149" s="9" t="s">
        <v>332</v>
      </c>
      <c r="F149" s="9">
        <v>60475</v>
      </c>
      <c r="G149" s="10">
        <v>45994</v>
      </c>
      <c r="H149" s="11" t="s">
        <v>333</v>
      </c>
      <c r="I149" s="11" t="s">
        <v>18</v>
      </c>
      <c r="J149" s="11" t="s">
        <v>39</v>
      </c>
      <c r="K149" s="11"/>
      <c r="L149" s="11" t="s">
        <v>20</v>
      </c>
      <c r="M149" s="12" t="s">
        <v>40</v>
      </c>
      <c r="N149" s="11" t="s">
        <v>22</v>
      </c>
      <c r="O149" s="4">
        <v>19960</v>
      </c>
      <c r="P149" s="8">
        <v>23552.799999999999</v>
      </c>
      <c r="Q149" s="16">
        <f>Table1[[#This Row],[סכום כולל מע"מ]]-Table1[[#This Row],[סכום לפני מעמ2]]</f>
        <v>3592.7999999999993</v>
      </c>
    </row>
    <row r="150" spans="2:17" x14ac:dyDescent="0.25">
      <c r="B150" s="9">
        <v>148</v>
      </c>
      <c r="C150" s="9" t="s">
        <v>15</v>
      </c>
      <c r="D150" s="9">
        <v>148</v>
      </c>
      <c r="E150" s="9" t="s">
        <v>334</v>
      </c>
      <c r="F150" s="9">
        <v>60475</v>
      </c>
      <c r="G150" s="10">
        <v>45995</v>
      </c>
      <c r="H150" s="11" t="s">
        <v>335</v>
      </c>
      <c r="I150" s="11" t="s">
        <v>18</v>
      </c>
      <c r="J150" s="11" t="s">
        <v>25</v>
      </c>
      <c r="K150" s="11"/>
      <c r="L150" s="11" t="s">
        <v>20</v>
      </c>
      <c r="M150" s="12" t="s">
        <v>26</v>
      </c>
      <c r="N150" s="11" t="s">
        <v>22</v>
      </c>
      <c r="O150" s="4">
        <v>19960</v>
      </c>
      <c r="P150" s="8">
        <v>23552.799999999999</v>
      </c>
      <c r="Q150" s="16">
        <f>Table1[[#This Row],[סכום כולל מע"מ]]-Table1[[#This Row],[סכום לפני מעמ2]]</f>
        <v>3592.7999999999993</v>
      </c>
    </row>
    <row r="151" spans="2:17" x14ac:dyDescent="0.25">
      <c r="B151" s="9">
        <v>149</v>
      </c>
      <c r="C151" s="9" t="s">
        <v>15</v>
      </c>
      <c r="D151" s="9">
        <v>149</v>
      </c>
      <c r="E151" s="9" t="s">
        <v>336</v>
      </c>
      <c r="F151" s="9">
        <v>60475</v>
      </c>
      <c r="G151" s="10">
        <v>45995</v>
      </c>
      <c r="H151" s="11" t="s">
        <v>337</v>
      </c>
      <c r="I151" s="11" t="s">
        <v>18</v>
      </c>
      <c r="J151" s="11" t="s">
        <v>39</v>
      </c>
      <c r="K151" s="11"/>
      <c r="L151" s="11" t="s">
        <v>20</v>
      </c>
      <c r="M151" s="12" t="s">
        <v>40</v>
      </c>
      <c r="N151" s="11" t="s">
        <v>22</v>
      </c>
      <c r="O151" s="4">
        <v>19960</v>
      </c>
      <c r="P151" s="8">
        <v>23552.799999999999</v>
      </c>
      <c r="Q151" s="16">
        <f>Table1[[#This Row],[סכום כולל מע"מ]]-Table1[[#This Row],[סכום לפני מעמ2]]</f>
        <v>3592.7999999999993</v>
      </c>
    </row>
    <row r="152" spans="2:17" x14ac:dyDescent="0.25">
      <c r="B152" s="9">
        <v>150</v>
      </c>
      <c r="C152" s="9" t="s">
        <v>15</v>
      </c>
      <c r="D152" s="9">
        <v>150</v>
      </c>
      <c r="E152" s="9" t="s">
        <v>338</v>
      </c>
      <c r="F152" s="9">
        <v>60475</v>
      </c>
      <c r="G152" s="10">
        <v>45995</v>
      </c>
      <c r="H152" s="11" t="s">
        <v>339</v>
      </c>
      <c r="I152" s="11" t="s">
        <v>18</v>
      </c>
      <c r="J152" s="11" t="s">
        <v>31</v>
      </c>
      <c r="K152" s="11"/>
      <c r="L152" s="11" t="s">
        <v>20</v>
      </c>
      <c r="M152" s="12" t="s">
        <v>32</v>
      </c>
      <c r="N152" s="11" t="s">
        <v>22</v>
      </c>
      <c r="O152" s="4">
        <v>19960</v>
      </c>
      <c r="P152" s="8">
        <v>23552.799999999999</v>
      </c>
      <c r="Q152" s="16">
        <f>Table1[[#This Row],[סכום כולל מע"מ]]-Table1[[#This Row],[סכום לפני מעמ2]]</f>
        <v>3592.7999999999993</v>
      </c>
    </row>
    <row r="153" spans="2:17" x14ac:dyDescent="0.25">
      <c r="B153" s="9">
        <v>151</v>
      </c>
      <c r="C153" s="9" t="s">
        <v>15</v>
      </c>
      <c r="D153" s="9">
        <v>151</v>
      </c>
      <c r="E153" s="9" t="s">
        <v>340</v>
      </c>
      <c r="F153" s="9">
        <v>60475</v>
      </c>
      <c r="G153" s="10">
        <v>45995</v>
      </c>
      <c r="H153" s="11" t="s">
        <v>341</v>
      </c>
      <c r="I153" s="11" t="s">
        <v>18</v>
      </c>
      <c r="J153" s="11" t="s">
        <v>31</v>
      </c>
      <c r="K153" s="11"/>
      <c r="L153" s="11" t="s">
        <v>20</v>
      </c>
      <c r="M153" s="12" t="s">
        <v>32</v>
      </c>
      <c r="N153" s="11" t="s">
        <v>22</v>
      </c>
      <c r="O153" s="4">
        <v>19960</v>
      </c>
      <c r="P153" s="8">
        <v>23552.799999999999</v>
      </c>
      <c r="Q153" s="16">
        <f>Table1[[#This Row],[סכום כולל מע"מ]]-Table1[[#This Row],[סכום לפני מעמ2]]</f>
        <v>3592.7999999999993</v>
      </c>
    </row>
    <row r="154" spans="2:17" x14ac:dyDescent="0.25">
      <c r="B154" s="9">
        <v>152</v>
      </c>
      <c r="C154" s="9" t="s">
        <v>15</v>
      </c>
      <c r="D154" s="9">
        <v>152</v>
      </c>
      <c r="E154" s="9" t="s">
        <v>342</v>
      </c>
      <c r="F154" s="9">
        <v>60475</v>
      </c>
      <c r="G154" s="10">
        <v>45998</v>
      </c>
      <c r="H154" s="11" t="s">
        <v>343</v>
      </c>
      <c r="I154" s="11" t="s">
        <v>18</v>
      </c>
      <c r="J154" s="11" t="s">
        <v>39</v>
      </c>
      <c r="K154" s="11"/>
      <c r="L154" s="11" t="s">
        <v>20</v>
      </c>
      <c r="M154" s="12" t="s">
        <v>40</v>
      </c>
      <c r="N154" s="11" t="s">
        <v>22</v>
      </c>
      <c r="O154" s="4">
        <v>19960</v>
      </c>
      <c r="P154" s="8">
        <v>23552.799999999999</v>
      </c>
      <c r="Q154" s="16">
        <f>Table1[[#This Row],[סכום כולל מע"מ]]-Table1[[#This Row],[סכום לפני מעמ2]]</f>
        <v>3592.7999999999993</v>
      </c>
    </row>
    <row r="155" spans="2:17" x14ac:dyDescent="0.25">
      <c r="B155" s="9">
        <v>153</v>
      </c>
      <c r="C155" s="9" t="s">
        <v>15</v>
      </c>
      <c r="D155" s="9">
        <v>153</v>
      </c>
      <c r="E155" s="9" t="s">
        <v>344</v>
      </c>
      <c r="F155" s="9">
        <v>60475</v>
      </c>
      <c r="G155" s="10">
        <v>45998</v>
      </c>
      <c r="H155" s="11" t="s">
        <v>345</v>
      </c>
      <c r="I155" s="11" t="s">
        <v>18</v>
      </c>
      <c r="J155" s="11" t="s">
        <v>39</v>
      </c>
      <c r="K155" s="11"/>
      <c r="L155" s="11" t="s">
        <v>20</v>
      </c>
      <c r="M155" s="12" t="s">
        <v>40</v>
      </c>
      <c r="N155" s="11" t="s">
        <v>22</v>
      </c>
      <c r="O155" s="4">
        <v>19960</v>
      </c>
      <c r="P155" s="8">
        <v>23552.799999999999</v>
      </c>
      <c r="Q155" s="16">
        <f>Table1[[#This Row],[סכום כולל מע"מ]]-Table1[[#This Row],[סכום לפני מעמ2]]</f>
        <v>3592.7999999999993</v>
      </c>
    </row>
    <row r="156" spans="2:17" x14ac:dyDescent="0.25">
      <c r="B156" s="9">
        <v>154</v>
      </c>
      <c r="C156" s="9" t="s">
        <v>15</v>
      </c>
      <c r="D156" s="9">
        <v>154</v>
      </c>
      <c r="E156" s="9" t="s">
        <v>346</v>
      </c>
      <c r="F156" s="9">
        <v>60475</v>
      </c>
      <c r="G156" s="10">
        <v>45998</v>
      </c>
      <c r="H156" s="11" t="s">
        <v>347</v>
      </c>
      <c r="I156" s="11" t="s">
        <v>18</v>
      </c>
      <c r="J156" s="11" t="s">
        <v>31</v>
      </c>
      <c r="K156" s="11"/>
      <c r="L156" s="11" t="s">
        <v>20</v>
      </c>
      <c r="M156" s="12" t="s">
        <v>32</v>
      </c>
      <c r="N156" s="11" t="s">
        <v>22</v>
      </c>
      <c r="O156" s="4">
        <v>19980</v>
      </c>
      <c r="P156" s="8">
        <v>23576.400000000001</v>
      </c>
      <c r="Q156" s="16">
        <f>Table1[[#This Row],[סכום כולל מע"מ]]-Table1[[#This Row],[סכום לפני מעמ2]]</f>
        <v>3596.4000000000015</v>
      </c>
    </row>
    <row r="157" spans="2:17" x14ac:dyDescent="0.25">
      <c r="B157" s="9">
        <v>155</v>
      </c>
      <c r="C157" s="9" t="s">
        <v>15</v>
      </c>
      <c r="D157" s="9">
        <v>155</v>
      </c>
      <c r="E157" s="9" t="s">
        <v>348</v>
      </c>
      <c r="F157" s="9">
        <v>60475</v>
      </c>
      <c r="G157" s="10">
        <v>45999</v>
      </c>
      <c r="H157" s="11" t="s">
        <v>349</v>
      </c>
      <c r="I157" s="11" t="s">
        <v>18</v>
      </c>
      <c r="J157" s="11" t="s">
        <v>31</v>
      </c>
      <c r="K157" s="11"/>
      <c r="L157" s="11" t="s">
        <v>20</v>
      </c>
      <c r="M157" s="12" t="s">
        <v>32</v>
      </c>
      <c r="N157" s="11" t="s">
        <v>22</v>
      </c>
      <c r="O157" s="4">
        <v>19980</v>
      </c>
      <c r="P157" s="8">
        <v>23576.400000000001</v>
      </c>
      <c r="Q157" s="16">
        <f>Table1[[#This Row],[סכום כולל מע"מ]]-Table1[[#This Row],[סכום לפני מעמ2]]</f>
        <v>3596.4000000000015</v>
      </c>
    </row>
    <row r="158" spans="2:17" x14ac:dyDescent="0.25">
      <c r="B158" s="9">
        <v>156</v>
      </c>
      <c r="C158" s="9" t="s">
        <v>15</v>
      </c>
      <c r="D158" s="9">
        <v>156</v>
      </c>
      <c r="E158" s="9" t="s">
        <v>350</v>
      </c>
      <c r="F158" s="9">
        <v>60475</v>
      </c>
      <c r="G158" s="10">
        <v>45999</v>
      </c>
      <c r="H158" s="11" t="s">
        <v>351</v>
      </c>
      <c r="I158" s="11" t="s">
        <v>18</v>
      </c>
      <c r="J158" s="11" t="s">
        <v>39</v>
      </c>
      <c r="K158" s="11"/>
      <c r="L158" s="11" t="s">
        <v>20</v>
      </c>
      <c r="M158" s="12" t="s">
        <v>40</v>
      </c>
      <c r="N158" s="11" t="s">
        <v>22</v>
      </c>
      <c r="O158" s="4">
        <v>19980</v>
      </c>
      <c r="P158" s="8">
        <v>23576.400000000001</v>
      </c>
      <c r="Q158" s="16">
        <f>Table1[[#This Row],[סכום כולל מע"מ]]-Table1[[#This Row],[סכום לפני מעמ2]]</f>
        <v>3596.4000000000015</v>
      </c>
    </row>
    <row r="159" spans="2:17" x14ac:dyDescent="0.25">
      <c r="B159" s="9">
        <v>157</v>
      </c>
      <c r="C159" s="9" t="s">
        <v>15</v>
      </c>
      <c r="D159" s="9">
        <v>157</v>
      </c>
      <c r="E159" s="9" t="s">
        <v>352</v>
      </c>
      <c r="F159" s="9">
        <v>60475</v>
      </c>
      <c r="G159" s="10">
        <v>45999</v>
      </c>
      <c r="H159" s="11" t="s">
        <v>353</v>
      </c>
      <c r="I159" s="11" t="s">
        <v>18</v>
      </c>
      <c r="J159" s="11" t="s">
        <v>39</v>
      </c>
      <c r="K159" s="11"/>
      <c r="L159" s="11" t="s">
        <v>20</v>
      </c>
      <c r="M159" s="12" t="s">
        <v>40</v>
      </c>
      <c r="N159" s="11" t="s">
        <v>22</v>
      </c>
      <c r="O159" s="4">
        <v>19960</v>
      </c>
      <c r="P159" s="8">
        <v>23552.799999999999</v>
      </c>
      <c r="Q159" s="16">
        <f>Table1[[#This Row],[סכום כולל מע"מ]]-Table1[[#This Row],[סכום לפני מעמ2]]</f>
        <v>3592.7999999999993</v>
      </c>
    </row>
    <row r="160" spans="2:17" x14ac:dyDescent="0.25">
      <c r="B160" s="9">
        <v>158</v>
      </c>
      <c r="C160" s="9" t="s">
        <v>15</v>
      </c>
      <c r="D160" s="9">
        <v>158</v>
      </c>
      <c r="E160" s="9" t="s">
        <v>354</v>
      </c>
      <c r="F160" s="9">
        <v>60475</v>
      </c>
      <c r="G160" s="10">
        <v>45999</v>
      </c>
      <c r="H160" s="11" t="s">
        <v>355</v>
      </c>
      <c r="I160" s="11" t="s">
        <v>18</v>
      </c>
      <c r="J160" s="11" t="s">
        <v>39</v>
      </c>
      <c r="K160" s="11"/>
      <c r="L160" s="11" t="s">
        <v>20</v>
      </c>
      <c r="M160" s="12" t="s">
        <v>40</v>
      </c>
      <c r="N160" s="11" t="s">
        <v>22</v>
      </c>
      <c r="O160" s="4">
        <v>19980</v>
      </c>
      <c r="P160" s="8">
        <v>23576.400000000001</v>
      </c>
      <c r="Q160" s="16">
        <f>Table1[[#This Row],[סכום כולל מע"מ]]-Table1[[#This Row],[סכום לפני מעמ2]]</f>
        <v>3596.4000000000015</v>
      </c>
    </row>
    <row r="161" spans="2:17" x14ac:dyDescent="0.25">
      <c r="B161" s="9">
        <v>159</v>
      </c>
      <c r="C161" s="9" t="s">
        <v>15</v>
      </c>
      <c r="D161" s="9">
        <v>159</v>
      </c>
      <c r="E161" s="9" t="s">
        <v>356</v>
      </c>
      <c r="F161" s="9">
        <v>60475</v>
      </c>
      <c r="G161" s="10">
        <v>46000</v>
      </c>
      <c r="H161" s="11" t="s">
        <v>357</v>
      </c>
      <c r="I161" s="11" t="s">
        <v>18</v>
      </c>
      <c r="J161" s="11" t="s">
        <v>25</v>
      </c>
      <c r="K161" s="11"/>
      <c r="L161" s="11" t="s">
        <v>20</v>
      </c>
      <c r="M161" s="12" t="s">
        <v>26</v>
      </c>
      <c r="N161" s="11" t="s">
        <v>22</v>
      </c>
      <c r="O161" s="4">
        <v>19960</v>
      </c>
      <c r="P161" s="8">
        <v>23552.799999999999</v>
      </c>
      <c r="Q161" s="16">
        <f>Table1[[#This Row],[סכום כולל מע"מ]]-Table1[[#This Row],[סכום לפני מעמ2]]</f>
        <v>3592.7999999999993</v>
      </c>
    </row>
    <row r="162" spans="2:17" x14ac:dyDescent="0.25">
      <c r="B162" s="9">
        <v>160</v>
      </c>
      <c r="C162" s="9" t="s">
        <v>15</v>
      </c>
      <c r="D162" s="9">
        <v>160</v>
      </c>
      <c r="E162" s="9" t="s">
        <v>358</v>
      </c>
      <c r="F162" s="9">
        <v>60475</v>
      </c>
      <c r="G162" s="10">
        <v>46000</v>
      </c>
      <c r="H162" s="11" t="s">
        <v>359</v>
      </c>
      <c r="I162" s="11" t="s">
        <v>18</v>
      </c>
      <c r="J162" s="11" t="s">
        <v>31</v>
      </c>
      <c r="K162" s="11"/>
      <c r="L162" s="11" t="s">
        <v>20</v>
      </c>
      <c r="M162" s="12" t="s">
        <v>32</v>
      </c>
      <c r="N162" s="11" t="s">
        <v>22</v>
      </c>
      <c r="O162" s="4">
        <v>19970</v>
      </c>
      <c r="P162" s="8">
        <v>23564.6</v>
      </c>
      <c r="Q162" s="16">
        <f>Table1[[#This Row],[סכום כולל מע"מ]]-Table1[[#This Row],[סכום לפני מעמ2]]</f>
        <v>3594.5999999999985</v>
      </c>
    </row>
    <row r="163" spans="2:17" x14ac:dyDescent="0.25">
      <c r="B163" s="9">
        <v>161</v>
      </c>
      <c r="C163" s="9" t="s">
        <v>15</v>
      </c>
      <c r="D163" s="9">
        <v>161</v>
      </c>
      <c r="E163" s="9" t="s">
        <v>360</v>
      </c>
      <c r="F163" s="9">
        <v>60475</v>
      </c>
      <c r="G163" s="10">
        <v>46000</v>
      </c>
      <c r="H163" s="11" t="s">
        <v>361</v>
      </c>
      <c r="I163" s="11" t="s">
        <v>18</v>
      </c>
      <c r="J163" s="11" t="s">
        <v>39</v>
      </c>
      <c r="K163" s="11"/>
      <c r="L163" s="11" t="s">
        <v>20</v>
      </c>
      <c r="M163" s="12" t="s">
        <v>40</v>
      </c>
      <c r="N163" s="11" t="s">
        <v>22</v>
      </c>
      <c r="O163" s="4">
        <v>19960</v>
      </c>
      <c r="P163" s="8">
        <v>23552.799999999999</v>
      </c>
      <c r="Q163" s="16">
        <f>Table1[[#This Row],[סכום כולל מע"מ]]-Table1[[#This Row],[סכום לפני מעמ2]]</f>
        <v>3592.7999999999993</v>
      </c>
    </row>
    <row r="164" spans="2:17" x14ac:dyDescent="0.25">
      <c r="B164" s="9">
        <v>162</v>
      </c>
      <c r="C164" s="9" t="s">
        <v>15</v>
      </c>
      <c r="D164" s="9">
        <v>162</v>
      </c>
      <c r="E164" s="9" t="s">
        <v>362</v>
      </c>
      <c r="F164" s="9">
        <v>60475</v>
      </c>
      <c r="G164" s="10">
        <v>46001</v>
      </c>
      <c r="H164" s="11" t="s">
        <v>363</v>
      </c>
      <c r="I164" s="11" t="s">
        <v>18</v>
      </c>
      <c r="J164" s="11" t="s">
        <v>25</v>
      </c>
      <c r="K164" s="11"/>
      <c r="L164" s="11" t="s">
        <v>20</v>
      </c>
      <c r="M164" s="12" t="s">
        <v>26</v>
      </c>
      <c r="N164" s="11" t="s">
        <v>22</v>
      </c>
      <c r="O164" s="4">
        <v>19950</v>
      </c>
      <c r="P164" s="8">
        <v>23541</v>
      </c>
      <c r="Q164" s="16">
        <f>Table1[[#This Row],[סכום כולל מע"מ]]-Table1[[#This Row],[סכום לפני מעמ2]]</f>
        <v>3591</v>
      </c>
    </row>
    <row r="165" spans="2:17" x14ac:dyDescent="0.25">
      <c r="B165" s="9">
        <v>163</v>
      </c>
      <c r="C165" s="9" t="s">
        <v>15</v>
      </c>
      <c r="D165" s="9">
        <v>163</v>
      </c>
      <c r="E165" s="9" t="s">
        <v>364</v>
      </c>
      <c r="F165" s="9">
        <v>60475</v>
      </c>
      <c r="G165" s="10">
        <v>46001</v>
      </c>
      <c r="H165" s="11" t="s">
        <v>365</v>
      </c>
      <c r="I165" s="11" t="s">
        <v>18</v>
      </c>
      <c r="J165" s="11" t="s">
        <v>31</v>
      </c>
      <c r="K165" s="11"/>
      <c r="L165" s="11" t="s">
        <v>20</v>
      </c>
      <c r="M165" s="12" t="s">
        <v>32</v>
      </c>
      <c r="N165" s="11" t="s">
        <v>22</v>
      </c>
      <c r="O165" s="4">
        <v>19970</v>
      </c>
      <c r="P165" s="8">
        <v>23564.6</v>
      </c>
      <c r="Q165" s="16">
        <f>Table1[[#This Row],[סכום כולל מע"מ]]-Table1[[#This Row],[סכום לפני מעמ2]]</f>
        <v>3594.5999999999985</v>
      </c>
    </row>
    <row r="166" spans="2:17" x14ac:dyDescent="0.25">
      <c r="B166" s="9">
        <v>164</v>
      </c>
      <c r="C166" s="9" t="s">
        <v>15</v>
      </c>
      <c r="D166" s="9">
        <v>164</v>
      </c>
      <c r="E166" s="9" t="s">
        <v>366</v>
      </c>
      <c r="F166" s="9">
        <v>60475</v>
      </c>
      <c r="G166" s="10">
        <v>46001</v>
      </c>
      <c r="H166" s="11" t="s">
        <v>367</v>
      </c>
      <c r="I166" s="11" t="s">
        <v>18</v>
      </c>
      <c r="J166" s="11" t="s">
        <v>39</v>
      </c>
      <c r="K166" s="11"/>
      <c r="L166" s="11" t="s">
        <v>20</v>
      </c>
      <c r="M166" s="12" t="s">
        <v>40</v>
      </c>
      <c r="N166" s="11" t="s">
        <v>22</v>
      </c>
      <c r="O166" s="4">
        <v>19980</v>
      </c>
      <c r="P166" s="8">
        <v>23576.400000000001</v>
      </c>
      <c r="Q166" s="16">
        <f>Table1[[#This Row],[סכום כולל מע"מ]]-Table1[[#This Row],[סכום לפני מעמ2]]</f>
        <v>3596.4000000000015</v>
      </c>
    </row>
    <row r="167" spans="2:17" x14ac:dyDescent="0.25">
      <c r="B167" s="9">
        <v>165</v>
      </c>
      <c r="C167" s="9" t="s">
        <v>15</v>
      </c>
      <c r="D167" s="9">
        <v>165</v>
      </c>
      <c r="E167" s="9" t="s">
        <v>368</v>
      </c>
      <c r="F167" s="9">
        <v>60475</v>
      </c>
      <c r="G167" s="10">
        <v>46002</v>
      </c>
      <c r="H167" s="11" t="s">
        <v>369</v>
      </c>
      <c r="I167" s="11" t="s">
        <v>18</v>
      </c>
      <c r="J167" s="11" t="s">
        <v>25</v>
      </c>
      <c r="K167" s="11"/>
      <c r="L167" s="11" t="s">
        <v>20</v>
      </c>
      <c r="M167" s="12" t="s">
        <v>26</v>
      </c>
      <c r="N167" s="11" t="s">
        <v>22</v>
      </c>
      <c r="O167" s="4">
        <v>19980</v>
      </c>
      <c r="P167" s="8">
        <v>23576.400000000001</v>
      </c>
      <c r="Q167" s="16">
        <f>Table1[[#This Row],[סכום כולל מע"מ]]-Table1[[#This Row],[סכום לפני מעמ2]]</f>
        <v>3596.4000000000015</v>
      </c>
    </row>
    <row r="168" spans="2:17" x14ac:dyDescent="0.25">
      <c r="B168" s="9">
        <v>166</v>
      </c>
      <c r="C168" s="9" t="s">
        <v>15</v>
      </c>
      <c r="D168" s="9">
        <v>166</v>
      </c>
      <c r="E168" s="9" t="s">
        <v>370</v>
      </c>
      <c r="F168" s="9">
        <v>60475</v>
      </c>
      <c r="G168" s="10">
        <v>46002</v>
      </c>
      <c r="H168" s="11" t="s">
        <v>371</v>
      </c>
      <c r="I168" s="11" t="s">
        <v>18</v>
      </c>
      <c r="J168" s="11" t="s">
        <v>31</v>
      </c>
      <c r="K168" s="11"/>
      <c r="L168" s="11" t="s">
        <v>20</v>
      </c>
      <c r="M168" s="12" t="s">
        <v>32</v>
      </c>
      <c r="N168" s="11" t="s">
        <v>22</v>
      </c>
      <c r="O168" s="4">
        <v>19800</v>
      </c>
      <c r="P168" s="8">
        <v>23364</v>
      </c>
      <c r="Q168" s="16">
        <f>Table1[[#This Row],[סכום כולל מע"מ]]-Table1[[#This Row],[סכום לפני מעמ2]]</f>
        <v>3564</v>
      </c>
    </row>
    <row r="169" spans="2:17" x14ac:dyDescent="0.25">
      <c r="B169" s="9">
        <v>167</v>
      </c>
      <c r="C169" s="9" t="s">
        <v>15</v>
      </c>
      <c r="D169" s="9">
        <v>167</v>
      </c>
      <c r="E169" s="9" t="s">
        <v>372</v>
      </c>
      <c r="F169" s="9">
        <v>60475</v>
      </c>
      <c r="G169" s="10">
        <v>46002</v>
      </c>
      <c r="H169" s="11" t="s">
        <v>373</v>
      </c>
      <c r="I169" s="11" t="s">
        <v>18</v>
      </c>
      <c r="J169" s="11" t="s">
        <v>31</v>
      </c>
      <c r="K169" s="11"/>
      <c r="L169" s="11" t="s">
        <v>20</v>
      </c>
      <c r="M169" s="12" t="s">
        <v>32</v>
      </c>
      <c r="N169" s="11" t="s">
        <v>22</v>
      </c>
      <c r="O169" s="4">
        <v>19960</v>
      </c>
      <c r="P169" s="8">
        <v>23552.799999999999</v>
      </c>
      <c r="Q169" s="16">
        <f>Table1[[#This Row],[סכום כולל מע"מ]]-Table1[[#This Row],[סכום לפני מעמ2]]</f>
        <v>3592.7999999999993</v>
      </c>
    </row>
    <row r="170" spans="2:17" x14ac:dyDescent="0.25">
      <c r="B170" s="9">
        <v>168</v>
      </c>
      <c r="C170" s="9" t="s">
        <v>15</v>
      </c>
      <c r="D170" s="9">
        <v>168</v>
      </c>
      <c r="E170" s="9" t="s">
        <v>374</v>
      </c>
      <c r="F170" s="9">
        <v>60475</v>
      </c>
      <c r="G170" s="10">
        <v>46005</v>
      </c>
      <c r="H170" s="11" t="s">
        <v>375</v>
      </c>
      <c r="I170" s="11" t="s">
        <v>18</v>
      </c>
      <c r="J170" s="11" t="s">
        <v>31</v>
      </c>
      <c r="K170" s="11"/>
      <c r="L170" s="11" t="s">
        <v>20</v>
      </c>
      <c r="M170" s="12" t="s">
        <v>32</v>
      </c>
      <c r="N170" s="11" t="s">
        <v>22</v>
      </c>
      <c r="O170" s="4">
        <v>19960</v>
      </c>
      <c r="P170" s="8">
        <v>23552.799999999999</v>
      </c>
      <c r="Q170" s="16">
        <f>Table1[[#This Row],[סכום כולל מע"מ]]-Table1[[#This Row],[סכום לפני מעמ2]]</f>
        <v>3592.7999999999993</v>
      </c>
    </row>
    <row r="171" spans="2:17" x14ac:dyDescent="0.25">
      <c r="B171" s="9">
        <v>169</v>
      </c>
      <c r="C171" s="9" t="s">
        <v>15</v>
      </c>
      <c r="D171" s="9">
        <v>169</v>
      </c>
      <c r="E171" s="9" t="s">
        <v>376</v>
      </c>
      <c r="F171" s="9">
        <v>60475</v>
      </c>
      <c r="G171" s="10">
        <v>46005</v>
      </c>
      <c r="H171" s="11" t="s">
        <v>377</v>
      </c>
      <c r="I171" s="11" t="s">
        <v>18</v>
      </c>
      <c r="J171" s="11" t="s">
        <v>31</v>
      </c>
      <c r="K171" s="11"/>
      <c r="L171" s="11" t="s">
        <v>20</v>
      </c>
      <c r="M171" s="12" t="s">
        <v>32</v>
      </c>
      <c r="N171" s="11" t="s">
        <v>22</v>
      </c>
      <c r="O171" s="4">
        <v>19960</v>
      </c>
      <c r="P171" s="8">
        <v>23552.799999999999</v>
      </c>
      <c r="Q171" s="16">
        <f>Table1[[#This Row],[סכום כולל מע"מ]]-Table1[[#This Row],[סכום לפני מעמ2]]</f>
        <v>3592.7999999999993</v>
      </c>
    </row>
    <row r="172" spans="2:17" x14ac:dyDescent="0.25">
      <c r="B172" s="9">
        <v>170</v>
      </c>
      <c r="C172" s="9" t="s">
        <v>15</v>
      </c>
      <c r="D172" s="9">
        <v>170</v>
      </c>
      <c r="E172" s="9" t="s">
        <v>378</v>
      </c>
      <c r="F172" s="9">
        <v>60475</v>
      </c>
      <c r="G172" s="10">
        <v>46005</v>
      </c>
      <c r="H172" s="11" t="s">
        <v>379</v>
      </c>
      <c r="I172" s="11" t="s">
        <v>18</v>
      </c>
      <c r="J172" s="11" t="s">
        <v>25</v>
      </c>
      <c r="K172" s="11"/>
      <c r="L172" s="11" t="s">
        <v>20</v>
      </c>
      <c r="M172" s="12" t="s">
        <v>26</v>
      </c>
      <c r="N172" s="11" t="s">
        <v>22</v>
      </c>
      <c r="O172" s="4">
        <v>19990</v>
      </c>
      <c r="P172" s="8">
        <v>23588.2</v>
      </c>
      <c r="Q172" s="16">
        <f>Table1[[#This Row],[סכום כולל מע"מ]]-Table1[[#This Row],[סכום לפני מעמ2]]</f>
        <v>3598.2000000000007</v>
      </c>
    </row>
    <row r="173" spans="2:17" x14ac:dyDescent="0.25">
      <c r="B173" s="9">
        <v>171</v>
      </c>
      <c r="C173" s="9" t="s">
        <v>15</v>
      </c>
      <c r="D173" s="9">
        <v>171</v>
      </c>
      <c r="E173" s="9" t="s">
        <v>380</v>
      </c>
      <c r="F173" s="9">
        <v>60475</v>
      </c>
      <c r="G173" s="10">
        <v>46005</v>
      </c>
      <c r="H173" s="11" t="s">
        <v>381</v>
      </c>
      <c r="I173" s="11" t="s">
        <v>18</v>
      </c>
      <c r="J173" s="11" t="s">
        <v>31</v>
      </c>
      <c r="K173" s="11"/>
      <c r="L173" s="11" t="s">
        <v>20</v>
      </c>
      <c r="M173" s="12" t="s">
        <v>32</v>
      </c>
      <c r="N173" s="11" t="s">
        <v>22</v>
      </c>
      <c r="O173" s="4">
        <v>19960</v>
      </c>
      <c r="P173" s="8">
        <v>23552.799999999999</v>
      </c>
      <c r="Q173" s="16">
        <f>Table1[[#This Row],[סכום כולל מע"מ]]-Table1[[#This Row],[סכום לפני מעמ2]]</f>
        <v>3592.7999999999993</v>
      </c>
    </row>
    <row r="174" spans="2:17" x14ac:dyDescent="0.25">
      <c r="B174" s="9">
        <v>172</v>
      </c>
      <c r="C174" s="9" t="s">
        <v>15</v>
      </c>
      <c r="D174" s="9">
        <v>172</v>
      </c>
      <c r="E174" s="9" t="s">
        <v>382</v>
      </c>
      <c r="F174" s="9">
        <v>60475</v>
      </c>
      <c r="G174" s="10">
        <v>46006</v>
      </c>
      <c r="H174" s="11" t="s">
        <v>383</v>
      </c>
      <c r="I174" s="11" t="s">
        <v>18</v>
      </c>
      <c r="J174" s="11" t="s">
        <v>39</v>
      </c>
      <c r="K174" s="11"/>
      <c r="L174" s="11" t="s">
        <v>20</v>
      </c>
      <c r="M174" s="12" t="s">
        <v>40</v>
      </c>
      <c r="N174" s="11" t="s">
        <v>22</v>
      </c>
      <c r="O174" s="4">
        <v>19960</v>
      </c>
      <c r="P174" s="8">
        <v>23552.799999999999</v>
      </c>
      <c r="Q174" s="16">
        <f>Table1[[#This Row],[סכום כולל מע"מ]]-Table1[[#This Row],[סכום לפני מעמ2]]</f>
        <v>3592.7999999999993</v>
      </c>
    </row>
    <row r="175" spans="2:17" x14ac:dyDescent="0.25">
      <c r="B175" s="9">
        <v>173</v>
      </c>
      <c r="C175" s="9" t="s">
        <v>15</v>
      </c>
      <c r="D175" s="9">
        <v>173</v>
      </c>
      <c r="E175" s="9" t="s">
        <v>384</v>
      </c>
      <c r="F175" s="9">
        <v>60475</v>
      </c>
      <c r="G175" s="10">
        <v>46006</v>
      </c>
      <c r="H175" s="11" t="s">
        <v>385</v>
      </c>
      <c r="I175" s="11" t="s">
        <v>18</v>
      </c>
      <c r="J175" s="11" t="s">
        <v>39</v>
      </c>
      <c r="K175" s="11"/>
      <c r="L175" s="11" t="s">
        <v>20</v>
      </c>
      <c r="M175" s="12" t="s">
        <v>40</v>
      </c>
      <c r="N175" s="11" t="s">
        <v>22</v>
      </c>
      <c r="O175" s="4">
        <v>19960</v>
      </c>
      <c r="P175" s="8">
        <v>23552.799999999999</v>
      </c>
      <c r="Q175" s="16">
        <f>Table1[[#This Row],[סכום כולל מע"מ]]-Table1[[#This Row],[סכום לפני מעמ2]]</f>
        <v>3592.7999999999993</v>
      </c>
    </row>
    <row r="176" spans="2:17" x14ac:dyDescent="0.25">
      <c r="B176" s="9">
        <v>174</v>
      </c>
      <c r="C176" s="9" t="s">
        <v>15</v>
      </c>
      <c r="D176" s="9">
        <v>174</v>
      </c>
      <c r="E176" s="9" t="s">
        <v>386</v>
      </c>
      <c r="F176" s="9">
        <v>60475</v>
      </c>
      <c r="G176" s="10">
        <v>46006</v>
      </c>
      <c r="H176" s="11" t="s">
        <v>387</v>
      </c>
      <c r="I176" s="11" t="s">
        <v>18</v>
      </c>
      <c r="J176" s="11" t="s">
        <v>39</v>
      </c>
      <c r="K176" s="11"/>
      <c r="L176" s="11" t="s">
        <v>20</v>
      </c>
      <c r="M176" s="12" t="s">
        <v>40</v>
      </c>
      <c r="N176" s="11" t="s">
        <v>22</v>
      </c>
      <c r="O176" s="4">
        <v>19960</v>
      </c>
      <c r="P176" s="8">
        <v>23552.799999999999</v>
      </c>
      <c r="Q176" s="16">
        <f>Table1[[#This Row],[סכום כולל מע"מ]]-Table1[[#This Row],[סכום לפני מעמ2]]</f>
        <v>3592.7999999999993</v>
      </c>
    </row>
    <row r="177" spans="2:17" x14ac:dyDescent="0.25">
      <c r="B177" s="9">
        <v>175</v>
      </c>
      <c r="C177" s="9" t="s">
        <v>15</v>
      </c>
      <c r="D177" s="9">
        <v>175</v>
      </c>
      <c r="E177" s="9" t="s">
        <v>388</v>
      </c>
      <c r="F177" s="9">
        <v>60475</v>
      </c>
      <c r="G177" s="10">
        <v>46007</v>
      </c>
      <c r="H177" s="11" t="s">
        <v>389</v>
      </c>
      <c r="I177" s="11" t="s">
        <v>18</v>
      </c>
      <c r="J177" s="11" t="s">
        <v>39</v>
      </c>
      <c r="K177" s="11"/>
      <c r="L177" s="11" t="s">
        <v>20</v>
      </c>
      <c r="M177" s="12" t="s">
        <v>40</v>
      </c>
      <c r="N177" s="11" t="s">
        <v>22</v>
      </c>
      <c r="O177" s="4">
        <v>19960</v>
      </c>
      <c r="P177" s="8">
        <v>23552.799999999999</v>
      </c>
      <c r="Q177" s="16">
        <f>Table1[[#This Row],[סכום כולל מע"מ]]-Table1[[#This Row],[סכום לפני מעמ2]]</f>
        <v>3592.7999999999993</v>
      </c>
    </row>
    <row r="178" spans="2:17" x14ac:dyDescent="0.25">
      <c r="B178" s="9">
        <v>176</v>
      </c>
      <c r="C178" s="9" t="s">
        <v>15</v>
      </c>
      <c r="D178" s="9">
        <v>176</v>
      </c>
      <c r="E178" s="9" t="s">
        <v>390</v>
      </c>
      <c r="F178" s="9">
        <v>60475</v>
      </c>
      <c r="G178" s="10">
        <v>46007</v>
      </c>
      <c r="H178" s="11" t="s">
        <v>391</v>
      </c>
      <c r="I178" s="11" t="s">
        <v>18</v>
      </c>
      <c r="J178" s="11" t="s">
        <v>39</v>
      </c>
      <c r="K178" s="11"/>
      <c r="L178" s="11" t="s">
        <v>20</v>
      </c>
      <c r="M178" s="12" t="s">
        <v>40</v>
      </c>
      <c r="N178" s="11" t="s">
        <v>22</v>
      </c>
      <c r="O178" s="4">
        <v>19960</v>
      </c>
      <c r="P178" s="8">
        <v>23552.799999999999</v>
      </c>
      <c r="Q178" s="16">
        <f>Table1[[#This Row],[סכום כולל מע"מ]]-Table1[[#This Row],[סכום לפני מעמ2]]</f>
        <v>3592.7999999999993</v>
      </c>
    </row>
    <row r="179" spans="2:17" x14ac:dyDescent="0.25">
      <c r="B179" s="9">
        <v>177</v>
      </c>
      <c r="C179" s="9" t="s">
        <v>15</v>
      </c>
      <c r="D179" s="9">
        <v>177</v>
      </c>
      <c r="E179" s="9" t="s">
        <v>392</v>
      </c>
      <c r="F179" s="9">
        <v>60475</v>
      </c>
      <c r="G179" s="10">
        <v>46007</v>
      </c>
      <c r="H179" s="11" t="s">
        <v>393</v>
      </c>
      <c r="I179" s="11" t="s">
        <v>18</v>
      </c>
      <c r="J179" s="11" t="s">
        <v>25</v>
      </c>
      <c r="K179" s="11"/>
      <c r="L179" s="11" t="s">
        <v>20</v>
      </c>
      <c r="M179" s="12" t="s">
        <v>26</v>
      </c>
      <c r="N179" s="11" t="s">
        <v>22</v>
      </c>
      <c r="O179" s="4">
        <v>19980</v>
      </c>
      <c r="P179" s="8">
        <v>23576.400000000001</v>
      </c>
      <c r="Q179" s="16">
        <f>Table1[[#This Row],[סכום כולל מע"מ]]-Table1[[#This Row],[סכום לפני מעמ2]]</f>
        <v>3596.4000000000015</v>
      </c>
    </row>
    <row r="180" spans="2:17" x14ac:dyDescent="0.25">
      <c r="B180" s="9">
        <v>178</v>
      </c>
      <c r="C180" s="9" t="s">
        <v>15</v>
      </c>
      <c r="D180" s="9">
        <v>178</v>
      </c>
      <c r="E180" s="9" t="s">
        <v>394</v>
      </c>
      <c r="F180" s="9">
        <v>60475</v>
      </c>
      <c r="G180" s="10">
        <v>46008</v>
      </c>
      <c r="H180" s="11" t="s">
        <v>395</v>
      </c>
      <c r="I180" s="11" t="s">
        <v>18</v>
      </c>
      <c r="J180" s="11" t="s">
        <v>39</v>
      </c>
      <c r="K180" s="11"/>
      <c r="L180" s="11" t="s">
        <v>20</v>
      </c>
      <c r="M180" s="12" t="s">
        <v>40</v>
      </c>
      <c r="N180" s="11" t="s">
        <v>22</v>
      </c>
      <c r="O180" s="4">
        <v>19970</v>
      </c>
      <c r="P180" s="8">
        <v>23564.6</v>
      </c>
      <c r="Q180" s="16">
        <f>Table1[[#This Row],[סכום כולל מע"מ]]-Table1[[#This Row],[סכום לפני מעמ2]]</f>
        <v>3594.5999999999985</v>
      </c>
    </row>
    <row r="181" spans="2:17" x14ac:dyDescent="0.25">
      <c r="B181" s="9">
        <v>179</v>
      </c>
      <c r="C181" s="9" t="s">
        <v>15</v>
      </c>
      <c r="D181" s="9">
        <v>179</v>
      </c>
      <c r="E181" s="9" t="s">
        <v>396</v>
      </c>
      <c r="F181" s="9">
        <v>60475</v>
      </c>
      <c r="G181" s="10">
        <v>46008</v>
      </c>
      <c r="H181" s="11" t="s">
        <v>397</v>
      </c>
      <c r="I181" s="11" t="s">
        <v>18</v>
      </c>
      <c r="J181" s="11" t="s">
        <v>31</v>
      </c>
      <c r="K181" s="11"/>
      <c r="L181" s="11" t="s">
        <v>20</v>
      </c>
      <c r="M181" s="12" t="s">
        <v>32</v>
      </c>
      <c r="N181" s="11" t="s">
        <v>22</v>
      </c>
      <c r="O181" s="4">
        <v>19980</v>
      </c>
      <c r="P181" s="8">
        <v>23576.400000000001</v>
      </c>
      <c r="Q181" s="16">
        <f>Table1[[#This Row],[סכום כולל מע"מ]]-Table1[[#This Row],[סכום לפני מעמ2]]</f>
        <v>3596.4000000000015</v>
      </c>
    </row>
    <row r="182" spans="2:17" x14ac:dyDescent="0.25">
      <c r="B182" s="9">
        <v>180</v>
      </c>
      <c r="C182" s="9" t="s">
        <v>15</v>
      </c>
      <c r="D182" s="9">
        <v>180</v>
      </c>
      <c r="E182" s="9" t="s">
        <v>398</v>
      </c>
      <c r="F182" s="9">
        <v>60475</v>
      </c>
      <c r="G182" s="10">
        <v>46008</v>
      </c>
      <c r="H182" s="11" t="s">
        <v>399</v>
      </c>
      <c r="I182" s="11" t="s">
        <v>18</v>
      </c>
      <c r="J182" s="11" t="s">
        <v>31</v>
      </c>
      <c r="K182" s="11"/>
      <c r="L182" s="11" t="s">
        <v>20</v>
      </c>
      <c r="M182" s="12" t="s">
        <v>32</v>
      </c>
      <c r="N182" s="11" t="s">
        <v>22</v>
      </c>
      <c r="O182" s="4">
        <v>19980</v>
      </c>
      <c r="P182" s="8">
        <v>23576.400000000001</v>
      </c>
      <c r="Q182" s="16">
        <f>Table1[[#This Row],[סכום כולל מע"מ]]-Table1[[#This Row],[סכום לפני מעמ2]]</f>
        <v>3596.4000000000015</v>
      </c>
    </row>
    <row r="183" spans="2:17" x14ac:dyDescent="0.25">
      <c r="B183" s="9">
        <v>181</v>
      </c>
      <c r="C183" s="9" t="s">
        <v>15</v>
      </c>
      <c r="D183" s="9">
        <v>181</v>
      </c>
      <c r="E183" s="9" t="s">
        <v>400</v>
      </c>
      <c r="F183" s="9">
        <v>60475</v>
      </c>
      <c r="G183" s="10">
        <v>46008</v>
      </c>
      <c r="H183" s="11" t="s">
        <v>401</v>
      </c>
      <c r="I183" s="11" t="s">
        <v>18</v>
      </c>
      <c r="J183" s="11" t="s">
        <v>31</v>
      </c>
      <c r="K183" s="11"/>
      <c r="L183" s="11" t="s">
        <v>20</v>
      </c>
      <c r="M183" s="12" t="s">
        <v>32</v>
      </c>
      <c r="N183" s="11" t="s">
        <v>22</v>
      </c>
      <c r="O183" s="4">
        <v>19980</v>
      </c>
      <c r="P183" s="8">
        <v>23576.400000000001</v>
      </c>
      <c r="Q183" s="16">
        <f>Table1[[#This Row],[סכום כולל מע"מ]]-Table1[[#This Row],[סכום לפני מעמ2]]</f>
        <v>3596.4000000000015</v>
      </c>
    </row>
    <row r="184" spans="2:17" x14ac:dyDescent="0.25">
      <c r="B184" s="9">
        <v>182</v>
      </c>
      <c r="C184" s="9" t="s">
        <v>15</v>
      </c>
      <c r="D184" s="9">
        <v>182</v>
      </c>
      <c r="E184" s="9" t="s">
        <v>402</v>
      </c>
      <c r="F184" s="9">
        <v>60475</v>
      </c>
      <c r="G184" s="10">
        <v>46009</v>
      </c>
      <c r="H184" s="11" t="s">
        <v>403</v>
      </c>
      <c r="I184" s="11" t="s">
        <v>18</v>
      </c>
      <c r="J184" s="11" t="s">
        <v>31</v>
      </c>
      <c r="K184" s="11"/>
      <c r="L184" s="11" t="s">
        <v>20</v>
      </c>
      <c r="M184" s="12" t="s">
        <v>32</v>
      </c>
      <c r="N184" s="11" t="s">
        <v>22</v>
      </c>
      <c r="O184" s="4">
        <v>19980</v>
      </c>
      <c r="P184" s="8">
        <v>23576.400000000001</v>
      </c>
      <c r="Q184" s="16">
        <f>Table1[[#This Row],[סכום כולל מע"מ]]-Table1[[#This Row],[סכום לפני מעמ2]]</f>
        <v>3596.4000000000015</v>
      </c>
    </row>
    <row r="185" spans="2:17" x14ac:dyDescent="0.25">
      <c r="B185" s="9">
        <v>183</v>
      </c>
      <c r="C185" s="9" t="s">
        <v>15</v>
      </c>
      <c r="D185" s="9">
        <v>183</v>
      </c>
      <c r="E185" s="9" t="s">
        <v>404</v>
      </c>
      <c r="F185" s="9">
        <v>60475</v>
      </c>
      <c r="G185" s="10">
        <v>46009</v>
      </c>
      <c r="H185" s="11" t="s">
        <v>405</v>
      </c>
      <c r="I185" s="11" t="s">
        <v>18</v>
      </c>
      <c r="J185" s="11" t="s">
        <v>25</v>
      </c>
      <c r="K185" s="11"/>
      <c r="L185" s="11" t="s">
        <v>20</v>
      </c>
      <c r="M185" s="12" t="s">
        <v>26</v>
      </c>
      <c r="N185" s="11" t="s">
        <v>22</v>
      </c>
      <c r="O185" s="4">
        <v>19980</v>
      </c>
      <c r="P185" s="8">
        <v>23576.400000000001</v>
      </c>
      <c r="Q185" s="16">
        <f>Table1[[#This Row],[סכום כולל מע"מ]]-Table1[[#This Row],[סכום לפני מעמ2]]</f>
        <v>3596.4000000000015</v>
      </c>
    </row>
    <row r="186" spans="2:17" x14ac:dyDescent="0.25">
      <c r="B186" s="9">
        <v>184</v>
      </c>
      <c r="C186" s="9" t="s">
        <v>15</v>
      </c>
      <c r="D186" s="9">
        <v>184</v>
      </c>
      <c r="E186" s="9" t="s">
        <v>406</v>
      </c>
      <c r="F186" s="9">
        <v>60475</v>
      </c>
      <c r="G186" s="10">
        <v>46009</v>
      </c>
      <c r="H186" s="11" t="s">
        <v>407</v>
      </c>
      <c r="I186" s="11" t="s">
        <v>18</v>
      </c>
      <c r="J186" s="11" t="s">
        <v>31</v>
      </c>
      <c r="K186" s="11"/>
      <c r="L186" s="11" t="s">
        <v>20</v>
      </c>
      <c r="M186" s="12" t="s">
        <v>32</v>
      </c>
      <c r="N186" s="11" t="s">
        <v>22</v>
      </c>
      <c r="O186" s="4">
        <v>19960</v>
      </c>
      <c r="P186" s="8">
        <v>23552.799999999999</v>
      </c>
      <c r="Q186" s="16">
        <f>Table1[[#This Row],[סכום כולל מע"מ]]-Table1[[#This Row],[סכום לפני מעמ2]]</f>
        <v>3592.7999999999993</v>
      </c>
    </row>
    <row r="187" spans="2:17" x14ac:dyDescent="0.25">
      <c r="B187" s="9">
        <v>185</v>
      </c>
      <c r="C187" s="9" t="s">
        <v>15</v>
      </c>
      <c r="D187" s="9">
        <v>185</v>
      </c>
      <c r="E187" s="9" t="s">
        <v>408</v>
      </c>
      <c r="F187" s="9">
        <v>60475</v>
      </c>
      <c r="G187" s="10">
        <v>46009</v>
      </c>
      <c r="H187" s="11" t="s">
        <v>409</v>
      </c>
      <c r="I187" s="11" t="s">
        <v>18</v>
      </c>
      <c r="J187" s="11" t="s">
        <v>31</v>
      </c>
      <c r="K187" s="11"/>
      <c r="L187" s="11" t="s">
        <v>20</v>
      </c>
      <c r="M187" s="12" t="s">
        <v>32</v>
      </c>
      <c r="N187" s="11" t="s">
        <v>22</v>
      </c>
      <c r="O187" s="4">
        <v>19980</v>
      </c>
      <c r="P187" s="8">
        <v>23576.400000000001</v>
      </c>
      <c r="Q187" s="16">
        <f>Table1[[#This Row],[סכום כולל מע"מ]]-Table1[[#This Row],[סכום לפני מעמ2]]</f>
        <v>3596.4000000000015</v>
      </c>
    </row>
    <row r="188" spans="2:17" x14ac:dyDescent="0.25">
      <c r="B188" s="9">
        <v>186</v>
      </c>
      <c r="C188" s="9" t="s">
        <v>15</v>
      </c>
      <c r="D188" s="9">
        <v>186</v>
      </c>
      <c r="E188" s="9" t="s">
        <v>410</v>
      </c>
      <c r="F188" s="9">
        <v>60475</v>
      </c>
      <c r="G188" s="10">
        <v>46012</v>
      </c>
      <c r="H188" s="11" t="s">
        <v>411</v>
      </c>
      <c r="I188" s="11" t="s">
        <v>18</v>
      </c>
      <c r="J188" s="11" t="s">
        <v>31</v>
      </c>
      <c r="K188" s="11"/>
      <c r="L188" s="11" t="s">
        <v>20</v>
      </c>
      <c r="M188" s="12" t="s">
        <v>32</v>
      </c>
      <c r="N188" s="11" t="s">
        <v>22</v>
      </c>
      <c r="O188" s="4">
        <v>19980</v>
      </c>
      <c r="P188" s="8">
        <v>23576.400000000001</v>
      </c>
      <c r="Q188" s="16">
        <f>Table1[[#This Row],[סכום כולל מע"מ]]-Table1[[#This Row],[סכום לפני מעמ2]]</f>
        <v>3596.4000000000015</v>
      </c>
    </row>
    <row r="189" spans="2:17" x14ac:dyDescent="0.25">
      <c r="B189" s="9">
        <v>187</v>
      </c>
      <c r="C189" s="9" t="s">
        <v>15</v>
      </c>
      <c r="D189" s="9">
        <v>187</v>
      </c>
      <c r="E189" s="9" t="s">
        <v>412</v>
      </c>
      <c r="F189" s="9">
        <v>60475</v>
      </c>
      <c r="G189" s="10">
        <v>46012</v>
      </c>
      <c r="H189" s="11" t="s">
        <v>413</v>
      </c>
      <c r="I189" s="11" t="s">
        <v>18</v>
      </c>
      <c r="J189" s="11" t="s">
        <v>39</v>
      </c>
      <c r="K189" s="11"/>
      <c r="L189" s="11" t="s">
        <v>20</v>
      </c>
      <c r="M189" s="12" t="s">
        <v>40</v>
      </c>
      <c r="N189" s="11" t="s">
        <v>22</v>
      </c>
      <c r="O189" s="4">
        <v>19980</v>
      </c>
      <c r="P189" s="8">
        <v>23576.400000000001</v>
      </c>
      <c r="Q189" s="16">
        <f>Table1[[#This Row],[סכום כולל מע"מ]]-Table1[[#This Row],[סכום לפני מעמ2]]</f>
        <v>3596.4000000000015</v>
      </c>
    </row>
    <row r="190" spans="2:17" x14ac:dyDescent="0.25">
      <c r="B190" s="9">
        <v>188</v>
      </c>
      <c r="C190" s="9" t="s">
        <v>15</v>
      </c>
      <c r="D190" s="9">
        <v>188</v>
      </c>
      <c r="E190" s="9" t="s">
        <v>414</v>
      </c>
      <c r="F190" s="9">
        <v>60475</v>
      </c>
      <c r="G190" s="10">
        <v>46012</v>
      </c>
      <c r="H190" s="11" t="s">
        <v>415</v>
      </c>
      <c r="I190" s="11" t="s">
        <v>18</v>
      </c>
      <c r="J190" s="11" t="s">
        <v>31</v>
      </c>
      <c r="K190" s="11"/>
      <c r="L190" s="11" t="s">
        <v>20</v>
      </c>
      <c r="M190" s="12" t="s">
        <v>32</v>
      </c>
      <c r="N190" s="11" t="s">
        <v>22</v>
      </c>
      <c r="O190" s="4">
        <v>19960</v>
      </c>
      <c r="P190" s="8">
        <v>23552.799999999999</v>
      </c>
      <c r="Q190" s="16">
        <f>Table1[[#This Row],[סכום כולל מע"מ]]-Table1[[#This Row],[סכום לפני מעמ2]]</f>
        <v>3592.7999999999993</v>
      </c>
    </row>
    <row r="191" spans="2:17" x14ac:dyDescent="0.25">
      <c r="B191" s="9">
        <v>189</v>
      </c>
      <c r="C191" s="9" t="s">
        <v>15</v>
      </c>
      <c r="D191" s="9">
        <v>189</v>
      </c>
      <c r="E191" s="9" t="s">
        <v>416</v>
      </c>
      <c r="F191" s="9">
        <v>60475</v>
      </c>
      <c r="G191" s="10">
        <v>46013</v>
      </c>
      <c r="H191" s="11" t="s">
        <v>417</v>
      </c>
      <c r="I191" s="11" t="s">
        <v>18</v>
      </c>
      <c r="J191" s="11" t="s">
        <v>39</v>
      </c>
      <c r="K191" s="11"/>
      <c r="L191" s="11" t="s">
        <v>20</v>
      </c>
      <c r="M191" s="12" t="s">
        <v>40</v>
      </c>
      <c r="N191" s="11" t="s">
        <v>22</v>
      </c>
      <c r="O191" s="4">
        <v>19970</v>
      </c>
      <c r="P191" s="8">
        <v>23564.6</v>
      </c>
      <c r="Q191" s="16">
        <f>Table1[[#This Row],[סכום כולל מע"מ]]-Table1[[#This Row],[סכום לפני מעמ2]]</f>
        <v>3594.5999999999985</v>
      </c>
    </row>
    <row r="192" spans="2:17" x14ac:dyDescent="0.25">
      <c r="B192" s="9">
        <v>190</v>
      </c>
      <c r="C192" s="9" t="s">
        <v>15</v>
      </c>
      <c r="D192" s="9">
        <v>190</v>
      </c>
      <c r="E192" s="9" t="s">
        <v>418</v>
      </c>
      <c r="F192" s="9">
        <v>60475</v>
      </c>
      <c r="G192" s="10">
        <v>46013</v>
      </c>
      <c r="H192" s="11" t="s">
        <v>419</v>
      </c>
      <c r="I192" s="11" t="s">
        <v>18</v>
      </c>
      <c r="J192" s="11" t="s">
        <v>31</v>
      </c>
      <c r="K192" s="11"/>
      <c r="L192" s="11" t="s">
        <v>20</v>
      </c>
      <c r="M192" s="12" t="s">
        <v>32</v>
      </c>
      <c r="N192" s="11" t="s">
        <v>22</v>
      </c>
      <c r="O192" s="4">
        <v>19960</v>
      </c>
      <c r="P192" s="8">
        <v>23552.799999999999</v>
      </c>
      <c r="Q192" s="16">
        <f>Table1[[#This Row],[סכום כולל מע"מ]]-Table1[[#This Row],[סכום לפני מעמ2]]</f>
        <v>3592.7999999999993</v>
      </c>
    </row>
    <row r="193" spans="2:17" x14ac:dyDescent="0.25">
      <c r="B193" s="9">
        <v>191</v>
      </c>
      <c r="C193" s="9" t="s">
        <v>15</v>
      </c>
      <c r="D193" s="9">
        <v>191</v>
      </c>
      <c r="E193" s="9" t="s">
        <v>420</v>
      </c>
      <c r="F193" s="9">
        <v>60475</v>
      </c>
      <c r="G193" s="10">
        <v>46013</v>
      </c>
      <c r="H193" s="11" t="s">
        <v>421</v>
      </c>
      <c r="I193" s="11" t="s">
        <v>18</v>
      </c>
      <c r="J193" s="11" t="s">
        <v>31</v>
      </c>
      <c r="K193" s="11"/>
      <c r="L193" s="11" t="s">
        <v>20</v>
      </c>
      <c r="M193" s="12" t="s">
        <v>32</v>
      </c>
      <c r="N193" s="11" t="s">
        <v>22</v>
      </c>
      <c r="O193" s="4">
        <v>19980</v>
      </c>
      <c r="P193" s="8">
        <v>23576.400000000001</v>
      </c>
      <c r="Q193" s="16">
        <f>Table1[[#This Row],[סכום כולל מע"מ]]-Table1[[#This Row],[סכום לפני מעמ2]]</f>
        <v>3596.4000000000015</v>
      </c>
    </row>
    <row r="194" spans="2:17" x14ac:dyDescent="0.25">
      <c r="B194" s="9">
        <v>192</v>
      </c>
      <c r="C194" s="9" t="s">
        <v>15</v>
      </c>
      <c r="D194" s="9">
        <v>192</v>
      </c>
      <c r="E194" s="9" t="s">
        <v>422</v>
      </c>
      <c r="F194" s="9">
        <v>60475</v>
      </c>
      <c r="G194" s="10">
        <v>46014</v>
      </c>
      <c r="H194" s="11" t="s">
        <v>423</v>
      </c>
      <c r="I194" s="11" t="s">
        <v>18</v>
      </c>
      <c r="J194" s="11" t="s">
        <v>39</v>
      </c>
      <c r="K194" s="11"/>
      <c r="L194" s="11" t="s">
        <v>20</v>
      </c>
      <c r="M194" s="12" t="s">
        <v>40</v>
      </c>
      <c r="N194" s="11" t="s">
        <v>22</v>
      </c>
      <c r="O194" s="4">
        <v>19970</v>
      </c>
      <c r="P194" s="8">
        <v>23564.6</v>
      </c>
      <c r="Q194" s="16">
        <f>Table1[[#This Row],[סכום כולל מע"מ]]-Table1[[#This Row],[סכום לפני מעמ2]]</f>
        <v>3594.5999999999985</v>
      </c>
    </row>
    <row r="195" spans="2:17" x14ac:dyDescent="0.25">
      <c r="B195" s="9">
        <v>193</v>
      </c>
      <c r="C195" s="9" t="s">
        <v>15</v>
      </c>
      <c r="D195" s="9">
        <v>193</v>
      </c>
      <c r="E195" s="9" t="s">
        <v>424</v>
      </c>
      <c r="F195" s="9">
        <v>60475</v>
      </c>
      <c r="G195" s="10">
        <v>46014</v>
      </c>
      <c r="H195" s="11" t="s">
        <v>425</v>
      </c>
      <c r="I195" s="11" t="s">
        <v>18</v>
      </c>
      <c r="J195" s="11" t="s">
        <v>31</v>
      </c>
      <c r="K195" s="11"/>
      <c r="L195" s="11" t="s">
        <v>20</v>
      </c>
      <c r="M195" s="12" t="s">
        <v>32</v>
      </c>
      <c r="N195" s="11" t="s">
        <v>22</v>
      </c>
      <c r="O195" s="4">
        <v>19980</v>
      </c>
      <c r="P195" s="8">
        <v>23576.400000000001</v>
      </c>
      <c r="Q195" s="16">
        <f>Table1[[#This Row],[סכום כולל מע"מ]]-Table1[[#This Row],[סכום לפני מעמ2]]</f>
        <v>3596.4000000000015</v>
      </c>
    </row>
    <row r="196" spans="2:17" x14ac:dyDescent="0.25">
      <c r="B196" s="9">
        <v>194</v>
      </c>
      <c r="C196" s="9" t="s">
        <v>15</v>
      </c>
      <c r="D196" s="9">
        <v>194</v>
      </c>
      <c r="E196" s="9" t="s">
        <v>426</v>
      </c>
      <c r="F196" s="9">
        <v>60475</v>
      </c>
      <c r="G196" s="10">
        <v>46015</v>
      </c>
      <c r="H196" s="11" t="s">
        <v>427</v>
      </c>
      <c r="I196" s="11" t="s">
        <v>18</v>
      </c>
      <c r="J196" s="11" t="s">
        <v>31</v>
      </c>
      <c r="K196" s="11"/>
      <c r="L196" s="11" t="s">
        <v>20</v>
      </c>
      <c r="M196" s="12" t="s">
        <v>32</v>
      </c>
      <c r="N196" s="11" t="s">
        <v>22</v>
      </c>
      <c r="O196" s="4">
        <v>19980</v>
      </c>
      <c r="P196" s="8">
        <v>23576.400000000001</v>
      </c>
      <c r="Q196" s="16">
        <f>Table1[[#This Row],[סכום כולל מע"מ]]-Table1[[#This Row],[סכום לפני מעמ2]]</f>
        <v>3596.4000000000015</v>
      </c>
    </row>
    <row r="197" spans="2:17" x14ac:dyDescent="0.25">
      <c r="B197" s="9">
        <v>195</v>
      </c>
      <c r="C197" s="9" t="s">
        <v>15</v>
      </c>
      <c r="D197" s="9">
        <v>195</v>
      </c>
      <c r="E197" s="9" t="s">
        <v>428</v>
      </c>
      <c r="F197" s="9">
        <v>60475</v>
      </c>
      <c r="G197" s="10">
        <v>46015</v>
      </c>
      <c r="H197" s="11" t="s">
        <v>429</v>
      </c>
      <c r="I197" s="11" t="s">
        <v>18</v>
      </c>
      <c r="J197" s="11" t="s">
        <v>31</v>
      </c>
      <c r="K197" s="11"/>
      <c r="L197" s="11" t="s">
        <v>20</v>
      </c>
      <c r="M197" s="12" t="s">
        <v>32</v>
      </c>
      <c r="N197" s="11" t="s">
        <v>22</v>
      </c>
      <c r="O197" s="4">
        <v>19980</v>
      </c>
      <c r="P197" s="8">
        <v>23576.400000000001</v>
      </c>
      <c r="Q197" s="16">
        <f>Table1[[#This Row],[סכום כולל מע"מ]]-Table1[[#This Row],[סכום לפני מעמ2]]</f>
        <v>3596.4000000000015</v>
      </c>
    </row>
    <row r="198" spans="2:17" x14ac:dyDescent="0.25">
      <c r="B198" s="9">
        <v>196</v>
      </c>
      <c r="C198" s="9" t="s">
        <v>15</v>
      </c>
      <c r="D198" s="9">
        <v>196</v>
      </c>
      <c r="E198" s="9" t="s">
        <v>430</v>
      </c>
      <c r="F198" s="9">
        <v>60475</v>
      </c>
      <c r="G198" s="10">
        <v>46015</v>
      </c>
      <c r="H198" s="11" t="s">
        <v>431</v>
      </c>
      <c r="I198" s="11" t="s">
        <v>18</v>
      </c>
      <c r="J198" s="11" t="s">
        <v>31</v>
      </c>
      <c r="K198" s="11"/>
      <c r="L198" s="11" t="s">
        <v>20</v>
      </c>
      <c r="M198" s="12" t="s">
        <v>32</v>
      </c>
      <c r="N198" s="11" t="s">
        <v>22</v>
      </c>
      <c r="O198" s="4">
        <v>19980</v>
      </c>
      <c r="P198" s="8">
        <v>23576.400000000001</v>
      </c>
      <c r="Q198" s="16">
        <f>Table1[[#This Row],[סכום כולל מע"מ]]-Table1[[#This Row],[סכום לפני מעמ2]]</f>
        <v>3596.4000000000015</v>
      </c>
    </row>
    <row r="199" spans="2:17" x14ac:dyDescent="0.25">
      <c r="B199" s="9">
        <v>197</v>
      </c>
      <c r="C199" s="9" t="s">
        <v>15</v>
      </c>
      <c r="D199" s="9">
        <v>197</v>
      </c>
      <c r="E199" s="9" t="s">
        <v>432</v>
      </c>
      <c r="F199" s="9">
        <v>60475</v>
      </c>
      <c r="G199" s="10">
        <v>46016</v>
      </c>
      <c r="H199" s="11" t="s">
        <v>433</v>
      </c>
      <c r="I199" s="11" t="s">
        <v>18</v>
      </c>
      <c r="J199" s="11" t="s">
        <v>31</v>
      </c>
      <c r="K199" s="11"/>
      <c r="L199" s="11" t="s">
        <v>20</v>
      </c>
      <c r="M199" s="12" t="s">
        <v>32</v>
      </c>
      <c r="N199" s="11" t="s">
        <v>22</v>
      </c>
      <c r="O199" s="4">
        <v>19980</v>
      </c>
      <c r="P199" s="8">
        <v>23576.400000000001</v>
      </c>
      <c r="Q199" s="16">
        <f>Table1[[#This Row],[סכום כולל מע"מ]]-Table1[[#This Row],[סכום לפני מעמ2]]</f>
        <v>3596.4000000000015</v>
      </c>
    </row>
    <row r="200" spans="2:17" x14ac:dyDescent="0.25">
      <c r="B200" s="9">
        <v>198</v>
      </c>
      <c r="C200" s="9" t="s">
        <v>15</v>
      </c>
      <c r="D200" s="9">
        <v>198</v>
      </c>
      <c r="E200" s="9" t="s">
        <v>434</v>
      </c>
      <c r="F200" s="9">
        <v>60475</v>
      </c>
      <c r="G200" s="10">
        <v>46016</v>
      </c>
      <c r="H200" s="11" t="s">
        <v>435</v>
      </c>
      <c r="I200" s="11" t="s">
        <v>18</v>
      </c>
      <c r="J200" s="11" t="s">
        <v>31</v>
      </c>
      <c r="K200" s="11"/>
      <c r="L200" s="11" t="s">
        <v>20</v>
      </c>
      <c r="M200" s="12" t="s">
        <v>32</v>
      </c>
      <c r="N200" s="11" t="s">
        <v>22</v>
      </c>
      <c r="O200" s="4">
        <v>19980</v>
      </c>
      <c r="P200" s="8">
        <v>23576.400000000001</v>
      </c>
      <c r="Q200" s="16">
        <f>Table1[[#This Row],[סכום כולל מע"מ]]-Table1[[#This Row],[סכום לפני מעמ2]]</f>
        <v>3596.4000000000015</v>
      </c>
    </row>
    <row r="201" spans="2:17" x14ac:dyDescent="0.25">
      <c r="B201" s="9">
        <v>199</v>
      </c>
      <c r="C201" s="9" t="s">
        <v>15</v>
      </c>
      <c r="D201" s="9">
        <v>199</v>
      </c>
      <c r="E201" s="9" t="s">
        <v>436</v>
      </c>
      <c r="F201" s="9">
        <v>60475</v>
      </c>
      <c r="G201" s="10">
        <v>46016</v>
      </c>
      <c r="H201" s="11" t="s">
        <v>437</v>
      </c>
      <c r="I201" s="11" t="s">
        <v>18</v>
      </c>
      <c r="J201" s="11" t="s">
        <v>31</v>
      </c>
      <c r="K201" s="11"/>
      <c r="L201" s="11" t="s">
        <v>20</v>
      </c>
      <c r="M201" s="12" t="s">
        <v>32</v>
      </c>
      <c r="N201" s="11" t="s">
        <v>22</v>
      </c>
      <c r="O201" s="4">
        <v>19960</v>
      </c>
      <c r="P201" s="8">
        <v>23552.799999999999</v>
      </c>
      <c r="Q201" s="16">
        <f>Table1[[#This Row],[סכום כולל מע"מ]]-Table1[[#This Row],[סכום לפני מעמ2]]</f>
        <v>3592.7999999999993</v>
      </c>
    </row>
    <row r="202" spans="2:17" x14ac:dyDescent="0.25">
      <c r="B202" s="9">
        <v>200</v>
      </c>
      <c r="C202" s="9" t="s">
        <v>15</v>
      </c>
      <c r="D202" s="9">
        <v>200</v>
      </c>
      <c r="E202" s="9" t="s">
        <v>438</v>
      </c>
      <c r="F202" s="9">
        <v>60475</v>
      </c>
      <c r="G202" s="10">
        <v>46016</v>
      </c>
      <c r="H202" s="11" t="s">
        <v>439</v>
      </c>
      <c r="I202" s="11" t="s">
        <v>18</v>
      </c>
      <c r="J202" s="11" t="s">
        <v>31</v>
      </c>
      <c r="K202" s="11"/>
      <c r="L202" s="11" t="s">
        <v>20</v>
      </c>
      <c r="M202" s="12" t="s">
        <v>32</v>
      </c>
      <c r="N202" s="11" t="s">
        <v>22</v>
      </c>
      <c r="O202" s="4">
        <v>19970</v>
      </c>
      <c r="P202" s="8">
        <v>23564.6</v>
      </c>
      <c r="Q202" s="16">
        <f>Table1[[#This Row],[סכום כולל מע"מ]]-Table1[[#This Row],[סכום לפני מעמ2]]</f>
        <v>3594.5999999999985</v>
      </c>
    </row>
    <row r="203" spans="2:17" x14ac:dyDescent="0.25">
      <c r="B203" s="9">
        <v>201</v>
      </c>
      <c r="C203" s="9" t="s">
        <v>15</v>
      </c>
      <c r="D203" s="9">
        <v>201</v>
      </c>
      <c r="E203" s="9" t="s">
        <v>440</v>
      </c>
      <c r="F203" s="9">
        <v>60475</v>
      </c>
      <c r="G203" s="10">
        <v>46019</v>
      </c>
      <c r="H203" s="11" t="s">
        <v>441</v>
      </c>
      <c r="I203" s="11" t="s">
        <v>18</v>
      </c>
      <c r="J203" s="11" t="s">
        <v>39</v>
      </c>
      <c r="K203" s="11"/>
      <c r="L203" s="11" t="s">
        <v>20</v>
      </c>
      <c r="M203" s="12" t="s">
        <v>40</v>
      </c>
      <c r="N203" s="11" t="s">
        <v>22</v>
      </c>
      <c r="O203" s="4">
        <v>19980</v>
      </c>
      <c r="P203" s="8">
        <v>23576.400000000001</v>
      </c>
      <c r="Q203" s="16">
        <f>Table1[[#This Row],[סכום כולל מע"מ]]-Table1[[#This Row],[סכום לפני מעמ2]]</f>
        <v>3596.4000000000015</v>
      </c>
    </row>
    <row r="204" spans="2:17" x14ac:dyDescent="0.25">
      <c r="B204" s="9">
        <v>202</v>
      </c>
      <c r="C204" s="9" t="s">
        <v>15</v>
      </c>
      <c r="D204" s="9">
        <v>202</v>
      </c>
      <c r="E204" s="9" t="s">
        <v>442</v>
      </c>
      <c r="F204" s="9">
        <v>60475</v>
      </c>
      <c r="G204" s="10">
        <v>46019</v>
      </c>
      <c r="H204" s="11" t="s">
        <v>443</v>
      </c>
      <c r="I204" s="11" t="s">
        <v>18</v>
      </c>
      <c r="J204" s="11" t="s">
        <v>31</v>
      </c>
      <c r="K204" s="11"/>
      <c r="L204" s="11" t="s">
        <v>20</v>
      </c>
      <c r="M204" s="12" t="s">
        <v>32</v>
      </c>
      <c r="N204" s="11" t="s">
        <v>22</v>
      </c>
      <c r="O204" s="4">
        <v>19980</v>
      </c>
      <c r="P204" s="8">
        <v>23576.400000000001</v>
      </c>
      <c r="Q204" s="16">
        <f>Table1[[#This Row],[סכום כולל מע"מ]]-Table1[[#This Row],[סכום לפני מעמ2]]</f>
        <v>3596.4000000000015</v>
      </c>
    </row>
    <row r="205" spans="2:17" x14ac:dyDescent="0.25">
      <c r="B205" s="9">
        <v>203</v>
      </c>
      <c r="C205" s="9" t="s">
        <v>15</v>
      </c>
      <c r="D205" s="9">
        <v>203</v>
      </c>
      <c r="E205" s="9" t="s">
        <v>444</v>
      </c>
      <c r="F205" s="9">
        <v>60475</v>
      </c>
      <c r="G205" s="10">
        <v>46019</v>
      </c>
      <c r="H205" s="11" t="s">
        <v>445</v>
      </c>
      <c r="I205" s="11" t="s">
        <v>18</v>
      </c>
      <c r="J205" s="11" t="s">
        <v>19</v>
      </c>
      <c r="K205" s="11"/>
      <c r="L205" s="11" t="s">
        <v>20</v>
      </c>
      <c r="M205" s="12" t="s">
        <v>21</v>
      </c>
      <c r="N205" s="11" t="s">
        <v>22</v>
      </c>
      <c r="O205" s="4">
        <v>19980</v>
      </c>
      <c r="P205" s="8">
        <v>23576.400000000001</v>
      </c>
      <c r="Q205" s="16">
        <f>Table1[[#This Row],[סכום כולל מע"מ]]-Table1[[#This Row],[סכום לפני מעמ2]]</f>
        <v>3596.4000000000015</v>
      </c>
    </row>
    <row r="206" spans="2:17" x14ac:dyDescent="0.25">
      <c r="B206" s="9">
        <v>204</v>
      </c>
      <c r="C206" s="9" t="s">
        <v>15</v>
      </c>
      <c r="D206" s="9">
        <v>204</v>
      </c>
      <c r="E206" s="9" t="s">
        <v>446</v>
      </c>
      <c r="F206" s="9">
        <v>60475</v>
      </c>
      <c r="G206" s="10">
        <v>46020</v>
      </c>
      <c r="H206" s="11" t="s">
        <v>447</v>
      </c>
      <c r="I206" s="11" t="s">
        <v>18</v>
      </c>
      <c r="J206" s="11" t="s">
        <v>31</v>
      </c>
      <c r="K206" s="11"/>
      <c r="L206" s="11" t="s">
        <v>20</v>
      </c>
      <c r="M206" s="12" t="s">
        <v>32</v>
      </c>
      <c r="N206" s="11" t="s">
        <v>22</v>
      </c>
      <c r="O206" s="4">
        <v>19980</v>
      </c>
      <c r="P206" s="8">
        <v>23576.400000000001</v>
      </c>
      <c r="Q206" s="16">
        <f>Table1[[#This Row],[סכום כולל מע"מ]]-Table1[[#This Row],[סכום לפני מעמ2]]</f>
        <v>3596.4000000000015</v>
      </c>
    </row>
    <row r="207" spans="2:17" x14ac:dyDescent="0.25">
      <c r="B207" s="9">
        <v>205</v>
      </c>
      <c r="C207" s="9" t="s">
        <v>15</v>
      </c>
      <c r="D207" s="9">
        <v>205</v>
      </c>
      <c r="E207" s="9" t="s">
        <v>448</v>
      </c>
      <c r="F207" s="9">
        <v>60475</v>
      </c>
      <c r="G207" s="10">
        <v>46020</v>
      </c>
      <c r="H207" s="11" t="s">
        <v>449</v>
      </c>
      <c r="I207" s="11" t="s">
        <v>18</v>
      </c>
      <c r="J207" s="11" t="s">
        <v>25</v>
      </c>
      <c r="K207" s="11"/>
      <c r="L207" s="11" t="s">
        <v>20</v>
      </c>
      <c r="M207" s="12" t="s">
        <v>26</v>
      </c>
      <c r="N207" s="11" t="s">
        <v>22</v>
      </c>
      <c r="O207" s="4">
        <v>19980</v>
      </c>
      <c r="P207" s="8">
        <v>23576.400000000001</v>
      </c>
      <c r="Q207" s="16">
        <f>Table1[[#This Row],[סכום כולל מע"מ]]-Table1[[#This Row],[סכום לפני מעמ2]]</f>
        <v>3596.4000000000015</v>
      </c>
    </row>
    <row r="208" spans="2:17" x14ac:dyDescent="0.25">
      <c r="B208" s="9">
        <v>206</v>
      </c>
      <c r="C208" s="9" t="s">
        <v>15</v>
      </c>
      <c r="D208" s="9">
        <v>206</v>
      </c>
      <c r="E208" s="9" t="s">
        <v>450</v>
      </c>
      <c r="F208" s="9">
        <v>60475</v>
      </c>
      <c r="G208" s="10">
        <v>46020</v>
      </c>
      <c r="H208" s="11" t="s">
        <v>451</v>
      </c>
      <c r="I208" s="11" t="s">
        <v>18</v>
      </c>
      <c r="J208" s="11" t="s">
        <v>31</v>
      </c>
      <c r="K208" s="11"/>
      <c r="L208" s="11" t="s">
        <v>20</v>
      </c>
      <c r="M208" s="12" t="s">
        <v>32</v>
      </c>
      <c r="N208" s="11" t="s">
        <v>22</v>
      </c>
      <c r="O208" s="4">
        <v>19970</v>
      </c>
      <c r="P208" s="8">
        <v>23564.6</v>
      </c>
      <c r="Q208" s="16">
        <f>Table1[[#This Row],[סכום כולל מע"מ]]-Table1[[#This Row],[סכום לפני מעמ2]]</f>
        <v>3594.5999999999985</v>
      </c>
    </row>
    <row r="209" spans="2:17" x14ac:dyDescent="0.25">
      <c r="B209" s="9">
        <v>207</v>
      </c>
      <c r="C209" s="9" t="s">
        <v>15</v>
      </c>
      <c r="D209" s="9">
        <v>207</v>
      </c>
      <c r="E209" s="9" t="s">
        <v>452</v>
      </c>
      <c r="F209" s="9">
        <v>60475</v>
      </c>
      <c r="G209" s="10">
        <v>46021</v>
      </c>
      <c r="H209" s="11" t="s">
        <v>453</v>
      </c>
      <c r="I209" s="11" t="s">
        <v>18</v>
      </c>
      <c r="J209" s="11" t="s">
        <v>31</v>
      </c>
      <c r="K209" s="11"/>
      <c r="L209" s="11" t="s">
        <v>20</v>
      </c>
      <c r="M209" s="12" t="s">
        <v>32</v>
      </c>
      <c r="N209" s="11" t="s">
        <v>22</v>
      </c>
      <c r="O209" s="4">
        <v>19980</v>
      </c>
      <c r="P209" s="8">
        <v>23576.400000000001</v>
      </c>
      <c r="Q209" s="16">
        <f>Table1[[#This Row],[סכום כולל מע"מ]]-Table1[[#This Row],[סכום לפני מעמ2]]</f>
        <v>3596.4000000000015</v>
      </c>
    </row>
    <row r="210" spans="2:17" x14ac:dyDescent="0.25">
      <c r="B210" s="9">
        <v>208</v>
      </c>
      <c r="C210" s="9" t="s">
        <v>15</v>
      </c>
      <c r="D210" s="9">
        <v>208</v>
      </c>
      <c r="E210" s="9" t="s">
        <v>454</v>
      </c>
      <c r="F210" s="9">
        <v>60475</v>
      </c>
      <c r="G210" s="10">
        <v>46021</v>
      </c>
      <c r="H210" s="11" t="s">
        <v>455</v>
      </c>
      <c r="I210" s="11" t="s">
        <v>18</v>
      </c>
      <c r="J210" s="11" t="s">
        <v>31</v>
      </c>
      <c r="K210" s="11"/>
      <c r="L210" s="11" t="s">
        <v>20</v>
      </c>
      <c r="M210" s="12" t="s">
        <v>32</v>
      </c>
      <c r="N210" s="11" t="s">
        <v>22</v>
      </c>
      <c r="O210" s="4">
        <v>19980</v>
      </c>
      <c r="P210" s="8">
        <v>23576.400000000001</v>
      </c>
      <c r="Q210" s="16">
        <f>Table1[[#This Row],[סכום כולל מע"מ]]-Table1[[#This Row],[סכום לפני מעמ2]]</f>
        <v>3596.4000000000015</v>
      </c>
    </row>
    <row r="211" spans="2:17" x14ac:dyDescent="0.25">
      <c r="B211" s="9">
        <v>209</v>
      </c>
      <c r="C211" s="9" t="s">
        <v>15</v>
      </c>
      <c r="D211" s="9">
        <v>209</v>
      </c>
      <c r="E211" s="9" t="s">
        <v>456</v>
      </c>
      <c r="F211" s="9">
        <v>60475</v>
      </c>
      <c r="G211" s="10">
        <v>46021</v>
      </c>
      <c r="H211" s="11" t="s">
        <v>457</v>
      </c>
      <c r="I211" s="11" t="s">
        <v>18</v>
      </c>
      <c r="J211" s="11" t="s">
        <v>25</v>
      </c>
      <c r="K211" s="11"/>
      <c r="L211" s="11" t="s">
        <v>20</v>
      </c>
      <c r="M211" s="12" t="s">
        <v>26</v>
      </c>
      <c r="N211" s="11" t="s">
        <v>22</v>
      </c>
      <c r="O211" s="4">
        <v>19980</v>
      </c>
      <c r="P211" s="8">
        <v>23576.400000000001</v>
      </c>
      <c r="Q211" s="16">
        <f>Table1[[#This Row],[סכום כולל מע"מ]]-Table1[[#This Row],[סכום לפני מעמ2]]</f>
        <v>3596.4000000000015</v>
      </c>
    </row>
    <row r="212" spans="2:17" x14ac:dyDescent="0.25">
      <c r="B212" s="9">
        <v>210</v>
      </c>
      <c r="C212" s="9" t="s">
        <v>15</v>
      </c>
      <c r="D212" s="9">
        <v>210</v>
      </c>
      <c r="E212" s="9" t="s">
        <v>458</v>
      </c>
      <c r="F212" s="9">
        <v>60475</v>
      </c>
      <c r="G212" s="10">
        <v>46021</v>
      </c>
      <c r="H212" s="11" t="s">
        <v>459</v>
      </c>
      <c r="I212" s="11" t="s">
        <v>18</v>
      </c>
      <c r="J212" s="11" t="s">
        <v>31</v>
      </c>
      <c r="K212" s="11"/>
      <c r="L212" s="11" t="s">
        <v>20</v>
      </c>
      <c r="M212" s="12" t="s">
        <v>32</v>
      </c>
      <c r="N212" s="11" t="s">
        <v>22</v>
      </c>
      <c r="O212" s="4">
        <v>19980</v>
      </c>
      <c r="P212" s="8">
        <v>23576.400000000001</v>
      </c>
      <c r="Q212" s="16">
        <f>Table1[[#This Row],[סכום כולל מע"מ]]-Table1[[#This Row],[סכום לפני מעמ2]]</f>
        <v>3596.4000000000015</v>
      </c>
    </row>
    <row r="213" spans="2:17" x14ac:dyDescent="0.25">
      <c r="B213" s="9">
        <v>211</v>
      </c>
      <c r="C213" s="9" t="s">
        <v>15</v>
      </c>
      <c r="D213" s="9">
        <v>211</v>
      </c>
      <c r="E213" s="9" t="s">
        <v>460</v>
      </c>
      <c r="F213" s="9">
        <v>60475</v>
      </c>
      <c r="G213" s="10">
        <v>46021</v>
      </c>
      <c r="H213" s="11" t="s">
        <v>461</v>
      </c>
      <c r="I213" s="11" t="s">
        <v>18</v>
      </c>
      <c r="J213" s="11" t="s">
        <v>39</v>
      </c>
      <c r="K213" s="11"/>
      <c r="L213" s="11" t="s">
        <v>20</v>
      </c>
      <c r="M213" s="12" t="s">
        <v>40</v>
      </c>
      <c r="N213" s="11" t="s">
        <v>22</v>
      </c>
      <c r="O213" s="4">
        <v>19970</v>
      </c>
      <c r="P213" s="8">
        <v>23564.6</v>
      </c>
      <c r="Q213" s="16">
        <f>Table1[[#This Row],[סכום כולל מע"מ]]-Table1[[#This Row],[סכום לפני מעמ2]]</f>
        <v>3594.5999999999985</v>
      </c>
    </row>
    <row r="214" spans="2:17" x14ac:dyDescent="0.25">
      <c r="B214" s="9">
        <v>212</v>
      </c>
      <c r="C214" s="9" t="s">
        <v>15</v>
      </c>
      <c r="D214" s="9">
        <v>212</v>
      </c>
      <c r="E214" s="9" t="s">
        <v>462</v>
      </c>
      <c r="F214" s="9">
        <v>60475</v>
      </c>
      <c r="G214" s="10">
        <v>46022</v>
      </c>
      <c r="H214" s="11" t="s">
        <v>463</v>
      </c>
      <c r="I214" s="11" t="s">
        <v>18</v>
      </c>
      <c r="J214" s="11" t="s">
        <v>25</v>
      </c>
      <c r="K214" s="11"/>
      <c r="L214" s="11" t="s">
        <v>20</v>
      </c>
      <c r="M214" s="12" t="s">
        <v>26</v>
      </c>
      <c r="N214" s="11" t="s">
        <v>22</v>
      </c>
      <c r="O214" s="4">
        <v>19980</v>
      </c>
      <c r="P214" s="8">
        <v>23576.400000000001</v>
      </c>
      <c r="Q214" s="16">
        <f>Table1[[#This Row],[סכום כולל מע"מ]]-Table1[[#This Row],[סכום לפני מעמ2]]</f>
        <v>3596.4000000000015</v>
      </c>
    </row>
    <row r="215" spans="2:17" x14ac:dyDescent="0.25">
      <c r="B215" s="9">
        <v>213</v>
      </c>
      <c r="C215" s="9" t="s">
        <v>15</v>
      </c>
      <c r="D215" s="9">
        <v>213</v>
      </c>
      <c r="E215" s="9" t="s">
        <v>464</v>
      </c>
      <c r="F215" s="9">
        <v>60475</v>
      </c>
      <c r="G215" s="10">
        <v>46022</v>
      </c>
      <c r="H215" s="11" t="s">
        <v>465</v>
      </c>
      <c r="I215" s="11" t="s">
        <v>18</v>
      </c>
      <c r="J215" s="11" t="s">
        <v>39</v>
      </c>
      <c r="K215" s="11"/>
      <c r="L215" s="11" t="s">
        <v>20</v>
      </c>
      <c r="M215" s="12" t="s">
        <v>40</v>
      </c>
      <c r="N215" s="11" t="s">
        <v>22</v>
      </c>
      <c r="O215" s="4">
        <v>19980</v>
      </c>
      <c r="P215" s="8">
        <v>23576.400000000001</v>
      </c>
      <c r="Q215" s="16">
        <f>Table1[[#This Row],[סכום כולל מע"מ]]-Table1[[#This Row],[סכום לפני מעמ2]]</f>
        <v>3596.4000000000015</v>
      </c>
    </row>
    <row r="216" spans="2:17" x14ac:dyDescent="0.25">
      <c r="E216" s="13"/>
      <c r="M216" s="14"/>
      <c r="O216" s="15">
        <f>SUBTOTAL(109,Table1[סכום לפני מעמ2])</f>
        <v>4250620</v>
      </c>
      <c r="P216" s="8">
        <f>SUBTOTAL(109,Table1[סכום לפני מעמ2])</f>
        <v>4250620</v>
      </c>
      <c r="Q216">
        <f>SUBTOTAL(109,Table1[Column1])</f>
        <v>765111.60000000114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2026-02-18T14:11:59Z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