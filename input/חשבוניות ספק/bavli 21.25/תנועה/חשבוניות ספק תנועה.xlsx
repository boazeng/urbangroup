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Aiprojects\urbangroup\input\חשבוניות ספק\bavli 21.25\תנועה\"/>
    </mc:Choice>
  </mc:AlternateContent>
  <xr:revisionPtr revIDLastSave="0" documentId="13_ncr:1_{2FC7EB65-110D-4AEC-8908-06954FE5D22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חשבוניו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268" i="1" s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P268" i="1"/>
  <c r="O268" i="1"/>
</calcChain>
</file>

<file path=xl/sharedStrings.xml><?xml version="1.0" encoding="utf-8"?>
<sst xmlns="http://schemas.openxmlformats.org/spreadsheetml/2006/main" count="2136" uniqueCount="556">
  <si>
    <t>מס</t>
  </si>
  <si>
    <t>שם קובץ חשבונית</t>
  </si>
  <si>
    <t>מספר עמוד</t>
  </si>
  <si>
    <t>חשבונית שנוצרה</t>
  </si>
  <si>
    <t>מספר ספק</t>
  </si>
  <si>
    <t>תאריך חשבונית</t>
  </si>
  <si>
    <t>מספר חשבונית</t>
  </si>
  <si>
    <t>סניף</t>
  </si>
  <si>
    <t>פרטים</t>
  </si>
  <si>
    <t>מספר הקצאה</t>
  </si>
  <si>
    <t>מקט</t>
  </si>
  <si>
    <t>תאור המוצר</t>
  </si>
  <si>
    <t xml:space="preserve">חשבון הוצאות </t>
  </si>
  <si>
    <t>סכום לפני מעמ2</t>
  </si>
  <si>
    <t>סכום כולל מע"מ</t>
  </si>
  <si>
    <t>חשבוניות ספק תנועה</t>
  </si>
  <si>
    <t>015-25-000214</t>
  </si>
  <si>
    <t>83547</t>
  </si>
  <si>
    <t>015</t>
  </si>
  <si>
    <t>עבודות שלד</t>
  </si>
  <si>
    <t>000</t>
  </si>
  <si>
    <t>עבור עבודות שלד</t>
  </si>
  <si>
    <t>2112-015</t>
  </si>
  <si>
    <t>015-25-000215</t>
  </si>
  <si>
    <t>83918</t>
  </si>
  <si>
    <t>עבודות שיפוצים</t>
  </si>
  <si>
    <t>עבור עבודות שיפוצים</t>
  </si>
  <si>
    <t>015-25-000216</t>
  </si>
  <si>
    <t>83994</t>
  </si>
  <si>
    <t>015-25-000217</t>
  </si>
  <si>
    <t>83984</t>
  </si>
  <si>
    <t>015-25-000218</t>
  </si>
  <si>
    <t>83520</t>
  </si>
  <si>
    <t>עבודות גמר</t>
  </si>
  <si>
    <t>עבור עבודות גמר</t>
  </si>
  <si>
    <t>015-25-000219</t>
  </si>
  <si>
    <t>83815</t>
  </si>
  <si>
    <t>015-25-000220</t>
  </si>
  <si>
    <t>83957</t>
  </si>
  <si>
    <t>015-25-000221</t>
  </si>
  <si>
    <t>83892</t>
  </si>
  <si>
    <t>015-25-000222</t>
  </si>
  <si>
    <t>83928</t>
  </si>
  <si>
    <t>015-25-000223</t>
  </si>
  <si>
    <t>83927</t>
  </si>
  <si>
    <t>015-25-000224</t>
  </si>
  <si>
    <t>83983</t>
  </si>
  <si>
    <t>015-25-000225</t>
  </si>
  <si>
    <t>83792</t>
  </si>
  <si>
    <t>015-25-000226</t>
  </si>
  <si>
    <t>83971</t>
  </si>
  <si>
    <t>015-25-000227</t>
  </si>
  <si>
    <t>84049</t>
  </si>
  <si>
    <t>015-25-000228</t>
  </si>
  <si>
    <t>83884</t>
  </si>
  <si>
    <t>015-25-000229</t>
  </si>
  <si>
    <t>83920</t>
  </si>
  <si>
    <t>015-25-000230</t>
  </si>
  <si>
    <t>83784</t>
  </si>
  <si>
    <t>עבודות בנייה</t>
  </si>
  <si>
    <t>עבור עבודות בנייה</t>
  </si>
  <si>
    <t>015-25-000231</t>
  </si>
  <si>
    <t>83813</t>
  </si>
  <si>
    <t>015-25-000232</t>
  </si>
  <si>
    <t>84022</t>
  </si>
  <si>
    <t>015-25-000233</t>
  </si>
  <si>
    <t>83771</t>
  </si>
  <si>
    <t>015-25-000234</t>
  </si>
  <si>
    <t>83539</t>
  </si>
  <si>
    <t>015-25-000235</t>
  </si>
  <si>
    <t>83532</t>
  </si>
  <si>
    <t>015-25-000236</t>
  </si>
  <si>
    <t>83759</t>
  </si>
  <si>
    <t>015-25-000237</t>
  </si>
  <si>
    <t>83778</t>
  </si>
  <si>
    <t>015-25-000238</t>
  </si>
  <si>
    <t>83932</t>
  </si>
  <si>
    <t>015-25-000239</t>
  </si>
  <si>
    <t>84048</t>
  </si>
  <si>
    <t>015-25-000240</t>
  </si>
  <si>
    <t>83550</t>
  </si>
  <si>
    <t>015-25-000241</t>
  </si>
  <si>
    <t>83789</t>
  </si>
  <si>
    <t>015-25-000242</t>
  </si>
  <si>
    <t>83760</t>
  </si>
  <si>
    <t>015-25-000243</t>
  </si>
  <si>
    <t>84012</t>
  </si>
  <si>
    <t>015-25-000244</t>
  </si>
  <si>
    <t>83511</t>
  </si>
  <si>
    <t>015-25-000245</t>
  </si>
  <si>
    <t>83944</t>
  </si>
  <si>
    <t>015-25-000246</t>
  </si>
  <si>
    <t>83956</t>
  </si>
  <si>
    <t>015-25-000247</t>
  </si>
  <si>
    <t>83954</t>
  </si>
  <si>
    <t>015-25-000248</t>
  </si>
  <si>
    <t>83786</t>
  </si>
  <si>
    <t>015-25-000249</t>
  </si>
  <si>
    <t>83913</t>
  </si>
  <si>
    <t>015-25-000250</t>
  </si>
  <si>
    <t>83962</t>
  </si>
  <si>
    <t>015-25-000251</t>
  </si>
  <si>
    <t>83883</t>
  </si>
  <si>
    <t>015-25-000252</t>
  </si>
  <si>
    <t>83772</t>
  </si>
  <si>
    <t>015-25-000253</t>
  </si>
  <si>
    <t>83546</t>
  </si>
  <si>
    <t>015-25-000254</t>
  </si>
  <si>
    <t>83934</t>
  </si>
  <si>
    <t>015-25-000255</t>
  </si>
  <si>
    <t>83897</t>
  </si>
  <si>
    <t>015-25-000256</t>
  </si>
  <si>
    <t>83761</t>
  </si>
  <si>
    <t>015-25-000257</t>
  </si>
  <si>
    <t>83785</t>
  </si>
  <si>
    <t>015-25-000258</t>
  </si>
  <si>
    <t>83912</t>
  </si>
  <si>
    <t>015-25-000259</t>
  </si>
  <si>
    <t>83793</t>
  </si>
  <si>
    <t>015-25-000260</t>
  </si>
  <si>
    <t>83893</t>
  </si>
  <si>
    <t>015-25-000261</t>
  </si>
  <si>
    <t>83542</t>
  </si>
  <si>
    <t>015-25-000262</t>
  </si>
  <si>
    <t>83889</t>
  </si>
  <si>
    <t>015-25-000263</t>
  </si>
  <si>
    <t>83925</t>
  </si>
  <si>
    <t>015-25-000264</t>
  </si>
  <si>
    <t>83806</t>
  </si>
  <si>
    <t>015-25-000265</t>
  </si>
  <si>
    <t>84018</t>
  </si>
  <si>
    <t>015-25-000266</t>
  </si>
  <si>
    <t>83799</t>
  </si>
  <si>
    <t>015-25-000267</t>
  </si>
  <si>
    <t>84027</t>
  </si>
  <si>
    <t>015-25-000268</t>
  </si>
  <si>
    <t>83517</t>
  </si>
  <si>
    <t>015-25-000269</t>
  </si>
  <si>
    <t>83910</t>
  </si>
  <si>
    <t>015-25-000270</t>
  </si>
  <si>
    <t>83900</t>
  </si>
  <si>
    <t>015-25-000271</t>
  </si>
  <si>
    <t>84039</t>
  </si>
  <si>
    <t>015-25-000272</t>
  </si>
  <si>
    <t>83770</t>
  </si>
  <si>
    <t>015-25-000273</t>
  </si>
  <si>
    <t>83987</t>
  </si>
  <si>
    <t>015-25-000274</t>
  </si>
  <si>
    <t>84043</t>
  </si>
  <si>
    <t>015-25-000275</t>
  </si>
  <si>
    <t>83963</t>
  </si>
  <si>
    <t>015-25-000276</t>
  </si>
  <si>
    <t>83553</t>
  </si>
  <si>
    <t>015-25-000277</t>
  </si>
  <si>
    <t>84020</t>
  </si>
  <si>
    <t>015-25-000278</t>
  </si>
  <si>
    <t>83922</t>
  </si>
  <si>
    <t>015-25-000279</t>
  </si>
  <si>
    <t>83916</t>
  </si>
  <si>
    <t>015-25-000280</t>
  </si>
  <si>
    <t>83512</t>
  </si>
  <si>
    <t>015-25-000281</t>
  </si>
  <si>
    <t>84023</t>
  </si>
  <si>
    <t>015-25-000282</t>
  </si>
  <si>
    <t>83552</t>
  </si>
  <si>
    <t>015-25-000283</t>
  </si>
  <si>
    <t>83527</t>
  </si>
  <si>
    <t>015-25-000284</t>
  </si>
  <si>
    <t>83801</t>
  </si>
  <si>
    <t>015-25-000285</t>
  </si>
  <si>
    <t>83879</t>
  </si>
  <si>
    <t>015-25-000286</t>
  </si>
  <si>
    <t>83935</t>
  </si>
  <si>
    <t>015-25-000287</t>
  </si>
  <si>
    <t>84016</t>
  </si>
  <si>
    <t>015-25-000288</t>
  </si>
  <si>
    <t>83526</t>
  </si>
  <si>
    <t>015-25-000289</t>
  </si>
  <si>
    <t>83946</t>
  </si>
  <si>
    <t>015-25-000290</t>
  </si>
  <si>
    <t>83937</t>
  </si>
  <si>
    <t>015-25-000291</t>
  </si>
  <si>
    <t>83882</t>
  </si>
  <si>
    <t>015-25-000292</t>
  </si>
  <si>
    <t>83513</t>
  </si>
  <si>
    <t>015-25-000293</t>
  </si>
  <si>
    <t>83998</t>
  </si>
  <si>
    <t>015-25-000294</t>
  </si>
  <si>
    <t>83551</t>
  </si>
  <si>
    <t>015-25-000295</t>
  </si>
  <si>
    <t>84002</t>
  </si>
  <si>
    <t>015-25-000296</t>
  </si>
  <si>
    <t>83886</t>
  </si>
  <si>
    <t>015-25-000297</t>
  </si>
  <si>
    <t>83803</t>
  </si>
  <si>
    <t>015-25-000298</t>
  </si>
  <si>
    <t>83818</t>
  </si>
  <si>
    <t>015-25-000299</t>
  </si>
  <si>
    <t>83549</t>
  </si>
  <si>
    <t>015-25-000300</t>
  </si>
  <si>
    <t>84008</t>
  </si>
  <si>
    <t>015-25-000301</t>
  </si>
  <si>
    <t>83948</t>
  </si>
  <si>
    <t>015-25-000302</t>
  </si>
  <si>
    <t>83952</t>
  </si>
  <si>
    <t>015-25-000303</t>
  </si>
  <si>
    <t>83907</t>
  </si>
  <si>
    <t>015-25-000304</t>
  </si>
  <si>
    <t>83510</t>
  </si>
  <si>
    <t>015-25-000305</t>
  </si>
  <si>
    <t>83782</t>
  </si>
  <si>
    <t>015-25-000306</t>
  </si>
  <si>
    <t>84004</t>
  </si>
  <si>
    <t>015-25-000307</t>
  </si>
  <si>
    <t>83960</t>
  </si>
  <si>
    <t>015-25-000308</t>
  </si>
  <si>
    <t>83504</t>
  </si>
  <si>
    <t>015-25-000309</t>
  </si>
  <si>
    <t>83881</t>
  </si>
  <si>
    <t>015-25-000310</t>
  </si>
  <si>
    <t>83817</t>
  </si>
  <si>
    <t>015-25-000311</t>
  </si>
  <si>
    <t>83781</t>
  </si>
  <si>
    <t>015-25-000312</t>
  </si>
  <si>
    <t>83776</t>
  </si>
  <si>
    <t>015-25-000313</t>
  </si>
  <si>
    <t>83819</t>
  </si>
  <si>
    <t>015-25-000314</t>
  </si>
  <si>
    <t>83940</t>
  </si>
  <si>
    <t>015-25-000315</t>
  </si>
  <si>
    <t>83521</t>
  </si>
  <si>
    <t>015-25-000316</t>
  </si>
  <si>
    <t>83808</t>
  </si>
  <si>
    <t>015-25-000317</t>
  </si>
  <si>
    <t>83950</t>
  </si>
  <si>
    <t>015-25-000318</t>
  </si>
  <si>
    <t>83955</t>
  </si>
  <si>
    <t>015-25-000319</t>
  </si>
  <si>
    <t>83919</t>
  </si>
  <si>
    <t>015-25-000320</t>
  </si>
  <si>
    <t>84035</t>
  </si>
  <si>
    <t>015-25-000321</t>
  </si>
  <si>
    <t>84025</t>
  </si>
  <si>
    <t>015-25-000322</t>
  </si>
  <si>
    <t>83966</t>
  </si>
  <si>
    <t>015-25-000323</t>
  </si>
  <si>
    <t>83777</t>
  </si>
  <si>
    <t>015-25-000324</t>
  </si>
  <si>
    <t>84050</t>
  </si>
  <si>
    <t>015-25-000325</t>
  </si>
  <si>
    <t>84006</t>
  </si>
  <si>
    <t>015-25-000326</t>
  </si>
  <si>
    <t>83888</t>
  </si>
  <si>
    <t>015-25-000327</t>
  </si>
  <si>
    <t>83537</t>
  </si>
  <si>
    <t>015-25-000328</t>
  </si>
  <si>
    <t>83518</t>
  </si>
  <si>
    <t>015-25-000329</t>
  </si>
  <si>
    <t>83535</t>
  </si>
  <si>
    <t>015-25-000330</t>
  </si>
  <si>
    <t>83970</t>
  </si>
  <si>
    <t>015-25-000331</t>
  </si>
  <si>
    <t>83773</t>
  </si>
  <si>
    <t>015-25-000332</t>
  </si>
  <si>
    <t>83523</t>
  </si>
  <si>
    <t>015-25-000333</t>
  </si>
  <si>
    <t>83763</t>
  </si>
  <si>
    <t>015-25-000334</t>
  </si>
  <si>
    <t>83812</t>
  </si>
  <si>
    <t>015-25-000335</t>
  </si>
  <si>
    <t>83529</t>
  </si>
  <si>
    <t>015-25-000336</t>
  </si>
  <si>
    <t>83765</t>
  </si>
  <si>
    <t>015-25-000337</t>
  </si>
  <si>
    <t>83533</t>
  </si>
  <si>
    <t>015-25-000338</t>
  </si>
  <si>
    <t>83798</t>
  </si>
  <si>
    <t>015-25-000339</t>
  </si>
  <si>
    <t>83980</t>
  </si>
  <si>
    <t>015-25-000340</t>
  </si>
  <si>
    <t>83947</t>
  </si>
  <si>
    <t>015-25-000341</t>
  </si>
  <si>
    <t>83945</t>
  </si>
  <si>
    <t>015-25-000342</t>
  </si>
  <si>
    <t>83976</t>
  </si>
  <si>
    <t>015-25-000343</t>
  </si>
  <si>
    <t>84019</t>
  </si>
  <si>
    <t>015-25-000344</t>
  </si>
  <si>
    <t>83528</t>
  </si>
  <si>
    <t>015-25-000345</t>
  </si>
  <si>
    <t>83522</t>
  </si>
  <si>
    <t>015-25-000346</t>
  </si>
  <si>
    <t>83807</t>
  </si>
  <si>
    <t>015-25-000347</t>
  </si>
  <si>
    <t>84017</t>
  </si>
  <si>
    <t>015-25-000348</t>
  </si>
  <si>
    <t>83809</t>
  </si>
  <si>
    <t>015-25-000349</t>
  </si>
  <si>
    <t>83943</t>
  </si>
  <si>
    <t>015-25-000350</t>
  </si>
  <si>
    <t>83972</t>
  </si>
  <si>
    <t>015-25-000351</t>
  </si>
  <si>
    <t>83802</t>
  </si>
  <si>
    <t>015-25-000352</t>
  </si>
  <si>
    <t>83810</t>
  </si>
  <si>
    <t>015-25-000353</t>
  </si>
  <si>
    <t>83530</t>
  </si>
  <si>
    <t>015-25-000354</t>
  </si>
  <si>
    <t>83788</t>
  </si>
  <si>
    <t>015-25-000355</t>
  </si>
  <si>
    <t>83794</t>
  </si>
  <si>
    <t>015-25-000356</t>
  </si>
  <si>
    <t>83509</t>
  </si>
  <si>
    <t>015-25-000357</t>
  </si>
  <si>
    <t>83811</t>
  </si>
  <si>
    <t>015-25-000358</t>
  </si>
  <si>
    <t>83996</t>
  </si>
  <si>
    <t>015-25-000359</t>
  </si>
  <si>
    <t>83885</t>
  </si>
  <si>
    <t>015-25-000360</t>
  </si>
  <si>
    <t>83507</t>
  </si>
  <si>
    <t>015-25-000361</t>
  </si>
  <si>
    <t>83768</t>
  </si>
  <si>
    <t>015-25-000362</t>
  </si>
  <si>
    <t>84000</t>
  </si>
  <si>
    <t>015-25-000363</t>
  </si>
  <si>
    <t>84031</t>
  </si>
  <si>
    <t>015-25-000364</t>
  </si>
  <si>
    <t>83762</t>
  </si>
  <si>
    <t>015-25-000365</t>
  </si>
  <si>
    <t>83929</t>
  </si>
  <si>
    <t>015-25-000366</t>
  </si>
  <si>
    <t>83814</t>
  </si>
  <si>
    <t>015-25-000367</t>
  </si>
  <si>
    <t>83544</t>
  </si>
  <si>
    <t>015-25-000368</t>
  </si>
  <si>
    <t>83887</t>
  </si>
  <si>
    <t>015-25-000369</t>
  </si>
  <si>
    <t>83990</t>
  </si>
  <si>
    <t>015-25-000370</t>
  </si>
  <si>
    <t>83914</t>
  </si>
  <si>
    <t>015-25-000371</t>
  </si>
  <si>
    <t>84047</t>
  </si>
  <si>
    <t>015-25-000372</t>
  </si>
  <si>
    <t>84045</t>
  </si>
  <si>
    <t>015-25-000373</t>
  </si>
  <si>
    <t>83982</t>
  </si>
  <si>
    <t>015-25-000374</t>
  </si>
  <si>
    <t>83923</t>
  </si>
  <si>
    <t>015-25-000375</t>
  </si>
  <si>
    <t>84037</t>
  </si>
  <si>
    <t>015-25-000376</t>
  </si>
  <si>
    <t>84009</t>
  </si>
  <si>
    <t>015-25-000377</t>
  </si>
  <si>
    <t>83515</t>
  </si>
  <si>
    <t>015-25-000378</t>
  </si>
  <si>
    <t>84026</t>
  </si>
  <si>
    <t>015-25-000379</t>
  </si>
  <si>
    <t>83554</t>
  </si>
  <si>
    <t>015-25-000380</t>
  </si>
  <si>
    <t>83949</t>
  </si>
  <si>
    <t>015-25-000381</t>
  </si>
  <si>
    <t>83516</t>
  </si>
  <si>
    <t>015-25-000382</t>
  </si>
  <si>
    <t>83930</t>
  </si>
  <si>
    <t>015-25-000383</t>
  </si>
  <si>
    <t>83979</t>
  </si>
  <si>
    <t>015-25-000384</t>
  </si>
  <si>
    <t>84036</t>
  </si>
  <si>
    <t>015-25-000385</t>
  </si>
  <si>
    <t>83959</t>
  </si>
  <si>
    <t>015-25-000386</t>
  </si>
  <si>
    <t>83896</t>
  </si>
  <si>
    <t>015-25-000387</t>
  </si>
  <si>
    <t>83968</t>
  </si>
  <si>
    <t>015-25-000388</t>
  </si>
  <si>
    <t>83909</t>
  </si>
  <si>
    <t>015-25-000389</t>
  </si>
  <si>
    <t>83988</t>
  </si>
  <si>
    <t>015-25-000390</t>
  </si>
  <si>
    <t>84021</t>
  </si>
  <si>
    <t>015-25-000391</t>
  </si>
  <si>
    <t>83899</t>
  </si>
  <si>
    <t>015-25-000392</t>
  </si>
  <si>
    <t>83524</t>
  </si>
  <si>
    <t>015-25-000393</t>
  </si>
  <si>
    <t>83804</t>
  </si>
  <si>
    <t>015-25-000394</t>
  </si>
  <si>
    <t>83536</t>
  </si>
  <si>
    <t>015-25-000395</t>
  </si>
  <si>
    <t>83967</t>
  </si>
  <si>
    <t>015-25-000396</t>
  </si>
  <si>
    <t>83904</t>
  </si>
  <si>
    <t>015-25-000397</t>
  </si>
  <si>
    <t>83951</t>
  </si>
  <si>
    <t>015-25-000398</t>
  </si>
  <si>
    <t>83795</t>
  </si>
  <si>
    <t>015-25-000399</t>
  </si>
  <si>
    <t>83905</t>
  </si>
  <si>
    <t>015-25-000400</t>
  </si>
  <si>
    <t>83790</t>
  </si>
  <si>
    <t>015-25-000401</t>
  </si>
  <si>
    <t>83921</t>
  </si>
  <si>
    <t>015-25-000402</t>
  </si>
  <si>
    <t>83780</t>
  </si>
  <si>
    <t>015-25-000403</t>
  </si>
  <si>
    <t>83538</t>
  </si>
  <si>
    <t>015-25-000404</t>
  </si>
  <si>
    <t>83942</t>
  </si>
  <si>
    <t>015-25-000405</t>
  </si>
  <si>
    <t>83958</t>
  </si>
  <si>
    <t>015-25-000406</t>
  </si>
  <si>
    <t>83917</t>
  </si>
  <si>
    <t>015-25-000407</t>
  </si>
  <si>
    <t>84024</t>
  </si>
  <si>
    <t>015-25-000408</t>
  </si>
  <si>
    <t>83816</t>
  </si>
  <si>
    <t>015-25-000409</t>
  </si>
  <si>
    <t>83911</t>
  </si>
  <si>
    <t>015-25-000410</t>
  </si>
  <si>
    <t>83769</t>
  </si>
  <si>
    <t>015-25-000411</t>
  </si>
  <si>
    <t>83508</t>
  </si>
  <si>
    <t>015-25-000412</t>
  </si>
  <si>
    <t>83767</t>
  </si>
  <si>
    <t>015-25-000413</t>
  </si>
  <si>
    <t>83540</t>
  </si>
  <si>
    <t>015-25-000414</t>
  </si>
  <si>
    <t>83514</t>
  </si>
  <si>
    <t>015-25-000415</t>
  </si>
  <si>
    <t>83779</t>
  </si>
  <si>
    <t>015-25-000416</t>
  </si>
  <si>
    <t>83986</t>
  </si>
  <si>
    <t>015-25-000417</t>
  </si>
  <si>
    <t>84011</t>
  </si>
  <si>
    <t>015-25-000418</t>
  </si>
  <si>
    <t>83898</t>
  </si>
  <si>
    <t>015-25-000419</t>
  </si>
  <si>
    <t>83895</t>
  </si>
  <si>
    <t>015-25-000420</t>
  </si>
  <si>
    <t>84041</t>
  </si>
  <si>
    <t>015-25-000421</t>
  </si>
  <si>
    <t>83975</t>
  </si>
  <si>
    <t>015-25-000422</t>
  </si>
  <si>
    <t>83901</t>
  </si>
  <si>
    <t>015-25-000423</t>
  </si>
  <si>
    <t>83915</t>
  </si>
  <si>
    <t>015-25-000424</t>
  </si>
  <si>
    <t>83941</t>
  </si>
  <si>
    <t>015-25-000425</t>
  </si>
  <si>
    <t>83525</t>
  </si>
  <si>
    <t>015-25-000426</t>
  </si>
  <si>
    <t>83764</t>
  </si>
  <si>
    <t>015-25-000427</t>
  </si>
  <si>
    <t>83981</t>
  </si>
  <si>
    <t>015-25-000428</t>
  </si>
  <si>
    <t>83924</t>
  </si>
  <si>
    <t>015-25-000429</t>
  </si>
  <si>
    <t>83936</t>
  </si>
  <si>
    <t>015-25-000430</t>
  </si>
  <si>
    <t>83505</t>
  </si>
  <si>
    <t>015-25-000431</t>
  </si>
  <si>
    <t>83797</t>
  </si>
  <si>
    <t>015-25-000432</t>
  </si>
  <si>
    <t>83800</t>
  </si>
  <si>
    <t>015-25-000433</t>
  </si>
  <si>
    <t>83953</t>
  </si>
  <si>
    <t>015-25-000434</t>
  </si>
  <si>
    <t>83933</t>
  </si>
  <si>
    <t>015-25-000435</t>
  </si>
  <si>
    <t>83938</t>
  </si>
  <si>
    <t>015-25-000436</t>
  </si>
  <si>
    <t>83805</t>
  </si>
  <si>
    <t>015-25-000437</t>
  </si>
  <si>
    <t>83531</t>
  </si>
  <si>
    <t>015-25-000438</t>
  </si>
  <si>
    <t>83775</t>
  </si>
  <si>
    <t>015-25-000439</t>
  </si>
  <si>
    <t>83985</t>
  </si>
  <si>
    <t>015-25-000440</t>
  </si>
  <si>
    <t>84013</t>
  </si>
  <si>
    <t>015-25-000441</t>
  </si>
  <si>
    <t>83519</t>
  </si>
  <si>
    <t>015-25-000442</t>
  </si>
  <si>
    <t>83903</t>
  </si>
  <si>
    <t>015-25-000443</t>
  </si>
  <si>
    <t>83541</t>
  </si>
  <si>
    <t>015-25-000444</t>
  </si>
  <si>
    <t>83783</t>
  </si>
  <si>
    <t>015-25-000445</t>
  </si>
  <si>
    <t>83961</t>
  </si>
  <si>
    <t>015-25-000446</t>
  </si>
  <si>
    <t>84015</t>
  </si>
  <si>
    <t>015-25-000447</t>
  </si>
  <si>
    <t>83969</t>
  </si>
  <si>
    <t>015-25-000448</t>
  </si>
  <si>
    <t>83891</t>
  </si>
  <si>
    <t>015-25-000449</t>
  </si>
  <si>
    <t>83890</t>
  </si>
  <si>
    <t>015-25-000450</t>
  </si>
  <si>
    <t>83992</t>
  </si>
  <si>
    <t>015-25-000451</t>
  </si>
  <si>
    <t>83974</t>
  </si>
  <si>
    <t>015-25-000452</t>
  </si>
  <si>
    <t>83931</t>
  </si>
  <si>
    <t>015-25-000453</t>
  </si>
  <si>
    <t>83989</t>
  </si>
  <si>
    <t>015-25-000454</t>
  </si>
  <si>
    <t>84029</t>
  </si>
  <si>
    <t>015-25-000455</t>
  </si>
  <si>
    <t>83926</t>
  </si>
  <si>
    <t>015-25-000456</t>
  </si>
  <si>
    <t>83543</t>
  </si>
  <si>
    <t>015-25-000457</t>
  </si>
  <si>
    <t>83796</t>
  </si>
  <si>
    <t>015-25-000458</t>
  </si>
  <si>
    <t>83880</t>
  </si>
  <si>
    <t>015-25-000459</t>
  </si>
  <si>
    <t>83506</t>
  </si>
  <si>
    <t>015-25-000460</t>
  </si>
  <si>
    <t>83977</t>
  </si>
  <si>
    <t>015-25-000461</t>
  </si>
  <si>
    <t>83906</t>
  </si>
  <si>
    <t>015-25-000462</t>
  </si>
  <si>
    <t>83965</t>
  </si>
  <si>
    <t>015-25-000463</t>
  </si>
  <si>
    <t>83973</t>
  </si>
  <si>
    <t>015-25-000464</t>
  </si>
  <si>
    <t>83548</t>
  </si>
  <si>
    <t>015-25-000465</t>
  </si>
  <si>
    <t>83978</t>
  </si>
  <si>
    <t>015-25-000466</t>
  </si>
  <si>
    <t>84040</t>
  </si>
  <si>
    <t>015-25-000467</t>
  </si>
  <si>
    <t>83991</t>
  </si>
  <si>
    <t>015-25-000468</t>
  </si>
  <si>
    <t>83964</t>
  </si>
  <si>
    <t>015-25-000469</t>
  </si>
  <si>
    <t>83939</t>
  </si>
  <si>
    <t>015-25-000470</t>
  </si>
  <si>
    <t>83902</t>
  </si>
  <si>
    <t>015-25-000471</t>
  </si>
  <si>
    <t>83791</t>
  </si>
  <si>
    <t>015-25-000472</t>
  </si>
  <si>
    <t>83787</t>
  </si>
  <si>
    <t>015-25-000473</t>
  </si>
  <si>
    <t>84014</t>
  </si>
  <si>
    <t>015-25-000474</t>
  </si>
  <si>
    <t>83908</t>
  </si>
  <si>
    <t>015-25-000475</t>
  </si>
  <si>
    <t>83894</t>
  </si>
  <si>
    <t>015-25-000476</t>
  </si>
  <si>
    <t>83545</t>
  </si>
  <si>
    <t>015-25-000477</t>
  </si>
  <si>
    <t>83534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</si>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</sst>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43" fontId="0" fillId="0" borderId="0" xfId="1" applyFont="1"/>
    <xf numFmtId="43" fontId="2" fillId="0" borderId="0" xfId="1" applyFont="1"/>
    <xf numFmtId="164" fontId="2" fillId="0" borderId="0" xfId="0" applyNumberFormat="1" applyFont="1"/>
    <xf numFmtId="164" fontId="0" fillId="0" borderId="0" xfId="0" applyNumberFormat="1"/>
    <xf numFmtId="43" fontId="3" fillId="0" borderId="0" xfId="1"/>
    <xf numFmtId="0" fontId="3" fillId="0" borderId="0" xfId="0" applyFont="1"/>
    <xf numFmtId="164" fontId="3" fillId="0" borderId="0" xfId="0" applyNumberFormat="1" applyFont="1"/>
    <xf numFmtId="49" fontId="3" fillId="0" borderId="0" xfId="0" applyNumberFormat="1" applyFont="1"/>
    <xf numFmtId="0" fontId="3" fillId="0" borderId="0" xfId="0" applyFont="1" applyAlignment="1">
      <alignment horizontal="right"/>
    </xf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Fill="1"/>
    <xf numFmtId="0" fontId="0" fillId="2" borderId="0" xfId="0" applyFont="1" applyFill="1"/>
    <xf numFmtId="164" fontId="0" fillId="0" borderId="0" xfId="0" applyNumberFormat="1" applyFill="1"/>
    <xf numFmtId="49" fontId="0" fillId="0" borderId="0" xfId="0" applyNumberFormat="1" applyFill="1"/>
    <xf numFmtId="0" fontId="0" fillId="0" borderId="0" xfId="0" applyFill="1" applyAlignment="1">
      <alignment horizontal="right"/>
    </xf>
    <xf numFmtId="43" fontId="3" fillId="0" borderId="0" xfId="0" applyNumberFormat="1" applyFont="1" applyFill="1" applyBorder="1" applyAlignment="1" applyProtection="1"/>
    <xf numFmtId="43" fontId="0" fillId="0" borderId="0" xfId="0" applyNumberFormat="1" applyFill="1"/>
    <xf numFmtId="43" fontId="2" fillId="0" borderId="0" xfId="1" applyFont="1" applyFill="1"/>
  </cellXfs>
  <cellStyles count="3">
    <cellStyle name="Comma" xfId="1" builtinId="3"/>
    <cellStyle name="Normal" xfId="0" builtinId="0"/>
    <cellStyle name="Normal 2" xfId="2" xr:uid="{00000000-0005-0000-0000-000002000000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30" formatCode="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164" formatCode="d/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5" formatCode="_(* #,##0.00_);_(* \(#,##0.00\);_(* &quot;-&quot;??_);_(@_)"/>
      <fill>
        <patternFill>
          <bgColor auto="1"/>
        </patternFill>
      </fill>
    </dxf>
    <dxf>
      <fill>
        <patternFill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fill>
        <patternFill>
          <bgColor auto="1"/>
        </patternFill>
      </fill>
      <alignment horizontal="right" vertical="bottom"/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164" formatCode="d/m/yyyy"/>
      <fill>
        <patternFill>
          <bgColor auto="1"/>
        </patternFill>
      </fill>
    </dxf>
    <dxf>
      <fill>
        <patternFill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>
          <fgColor indexed="64"/>
          <bgColor indexed="65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Q268" totalsRowCount="1" headerRowDxfId="32" dataDxfId="31" headerRowCellStyle="Comma">
  <autoFilter ref="B2:Q267" xr:uid="{00000000-0009-0000-0100-000001000000}">
    <filterColumn colId="15">
      <filters>
        <filter val="1,355.97"/>
        <filter val="1,633.07"/>
        <filter val="2,135.59"/>
        <filter val="2,288.13"/>
        <filter val="275.40"/>
      </filters>
    </filterColumn>
  </autoFilter>
  <tableColumns count="16">
    <tableColumn id="1" xr3:uid="{00000000-0010-0000-0000-000001000000}" name="מס" dataDxfId="30" totalsRowDxfId="14"/>
    <tableColumn id="20" xr3:uid="{00000000-0010-0000-0000-000014000000}" name="שם קובץ חשבונית" dataDxfId="29" totalsRowDxfId="13"/>
    <tableColumn id="21" xr3:uid="{00000000-0010-0000-0000-000015000000}" name="מספר עמוד" dataDxfId="28" totalsRowDxfId="12"/>
    <tableColumn id="5" xr3:uid="{00000000-0010-0000-0000-000005000000}" name="חשבונית שנוצרה" dataDxfId="27" totalsRowDxfId="11"/>
    <tableColumn id="13" xr3:uid="{00000000-0010-0000-0000-00000D000000}" name="מספר ספק" dataDxfId="26" totalsRowDxfId="10"/>
    <tableColumn id="2" xr3:uid="{00000000-0010-0000-0000-000002000000}" name="תאריך חשבונית" dataDxfId="25" totalsRowDxfId="9"/>
    <tableColumn id="15" xr3:uid="{00000000-0010-0000-0000-00000F000000}" name="מספר חשבונית" dataDxfId="24" totalsRowDxfId="8"/>
    <tableColumn id="16" xr3:uid="{00000000-0010-0000-0000-000010000000}" name="סניף" dataDxfId="23" totalsRowDxfId="7"/>
    <tableColumn id="17" xr3:uid="{00000000-0010-0000-0000-000011000000}" name="פרטים" dataDxfId="22" totalsRowDxfId="6"/>
    <tableColumn id="18" xr3:uid="{00000000-0010-0000-0000-000012000000}" name="מספר הקצאה" dataDxfId="21" totalsRowDxfId="5"/>
    <tableColumn id="12" xr3:uid="{00000000-0010-0000-0000-00000C000000}" name="מקט" dataDxfId="20" totalsRowDxfId="4"/>
    <tableColumn id="3" xr3:uid="{00000000-0010-0000-0000-000003000000}" name="תאור המוצר" dataDxfId="19" totalsRowDxfId="3"/>
    <tableColumn id="4" xr3:uid="{00000000-0010-0000-0000-000004000000}" name="חשבון הוצאות " dataDxfId="18" totalsRowDxfId="2"/>
    <tableColumn id="9" xr3:uid="{00000000-0010-0000-0000-000009000000}" name="סכום לפני מעמ2" totalsRowFunction="sum" dataDxfId="17" totalsRowDxfId="1" dataCellStyle="Comma">
      <calculatedColumnFormula>P3/1.18</calculatedColumnFormula>
    </tableColumn>
    <tableColumn id="10" xr3:uid="{00000000-0010-0000-0000-00000A000000}" name="סכום כולל מע&quot;מ" totalsRowFunction="custom" dataDxfId="16" totalsRowDxfId="0">
      <totalsRowFormula>SUBTOTAL(109,Table1[סכום לפני מעמ2])</totalsRowFormula>
    </tableColumn>
    <tableColumn id="6" xr3:uid="{CDCF9AC1-52FC-477E-9F1F-8A84032FBDDE}" name="Column1" totalsRowFunction="sum" dataDxfId="15">
      <calculatedColumnFormula>Table1[[#This Row],[סכום כולל מע"מ]]-Table1[[#This Row],[סכום לפני מעמ2]]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68"/>
  <sheetViews>
    <sheetView rightToLeft="1" tabSelected="1" topLeftCell="A80" zoomScale="130" zoomScaleNormal="130" workbookViewId="0">
      <selection activeCell="C10" sqref="C10:C265"/>
    </sheetView>
  </sheetViews>
  <sheetFormatPr defaultRowHeight="15.75" x14ac:dyDescent="0.25"/>
  <cols>
    <col min="2" max="2" width="4.75" customWidth="1"/>
    <col min="3" max="3" width="11.25" customWidth="1"/>
    <col min="4" max="4" width="11.125" customWidth="1"/>
    <col min="5" max="5" width="14.625" customWidth="1"/>
    <col min="6" max="6" width="12.125" customWidth="1"/>
    <col min="7" max="7" width="17.875" style="7" customWidth="1"/>
    <col min="8" max="8" width="17.25" style="2" customWidth="1"/>
    <col min="9" max="9" width="8.875" style="2" customWidth="1"/>
    <col min="10" max="11" width="13.75" style="2" customWidth="1"/>
    <col min="12" max="12" width="8" style="2" customWidth="1"/>
    <col min="13" max="13" width="42.875" customWidth="1"/>
    <col min="14" max="14" width="10.625" style="2" customWidth="1"/>
    <col min="15" max="15" width="14.75" style="4" customWidth="1"/>
    <col min="16" max="16" width="14.25" customWidth="1"/>
    <col min="17" max="17" width="12.875" customWidth="1"/>
  </cols>
  <sheetData>
    <row r="2" spans="2:17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6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1" t="s">
        <v>11</v>
      </c>
      <c r="N2" s="3" t="s">
        <v>12</v>
      </c>
      <c r="O2" s="5" t="s">
        <v>13</v>
      </c>
      <c r="P2" s="1" t="s">
        <v>14</v>
      </c>
      <c r="Q2" s="22" t="s">
        <v>555</v>
      </c>
    </row>
    <row r="3" spans="2:17" hidden="1" x14ac:dyDescent="0.25">
      <c r="B3" s="9">
        <v>1</v>
      </c>
      <c r="C3" s="9" t="s">
        <v>15</v>
      </c>
      <c r="D3" s="9">
        <v>1</v>
      </c>
      <c r="E3" s="9" t="s">
        <v>16</v>
      </c>
      <c r="F3" s="9">
        <v>60471</v>
      </c>
      <c r="G3" s="10">
        <v>46022</v>
      </c>
      <c r="H3" s="9" t="s">
        <v>17</v>
      </c>
      <c r="I3" s="11" t="s">
        <v>18</v>
      </c>
      <c r="J3" s="11" t="s">
        <v>19</v>
      </c>
      <c r="K3" s="9"/>
      <c r="L3" s="11" t="s">
        <v>20</v>
      </c>
      <c r="M3" s="12" t="s">
        <v>21</v>
      </c>
      <c r="N3" s="11" t="s">
        <v>22</v>
      </c>
      <c r="O3" s="8">
        <v>19995</v>
      </c>
      <c r="P3" s="9">
        <v>23594.1</v>
      </c>
      <c r="Q3" s="21">
        <f>Table1[[#This Row],[סכום כולל מע"מ]]-Table1[[#This Row],[סכום לפני מעמ2]]</f>
        <v>3599.0999999999985</v>
      </c>
    </row>
    <row r="4" spans="2:17" hidden="1" x14ac:dyDescent="0.25">
      <c r="B4" s="9">
        <v>2</v>
      </c>
      <c r="C4" s="9" t="s">
        <v>15</v>
      </c>
      <c r="D4" s="9">
        <v>2</v>
      </c>
      <c r="E4" s="9" t="s">
        <v>23</v>
      </c>
      <c r="F4" s="9">
        <v>60471</v>
      </c>
      <c r="G4" s="10">
        <v>46022</v>
      </c>
      <c r="H4" s="9" t="s">
        <v>24</v>
      </c>
      <c r="I4" s="11" t="s">
        <v>18</v>
      </c>
      <c r="J4" s="11" t="s">
        <v>25</v>
      </c>
      <c r="K4" s="9"/>
      <c r="L4" s="11" t="s">
        <v>20</v>
      </c>
      <c r="M4" s="12" t="s">
        <v>26</v>
      </c>
      <c r="N4" s="11" t="s">
        <v>22</v>
      </c>
      <c r="O4" s="8">
        <v>19950</v>
      </c>
      <c r="P4" s="9">
        <v>23541</v>
      </c>
      <c r="Q4" s="21">
        <f>Table1[[#This Row],[סכום כולל מע"מ]]-Table1[[#This Row],[סכום לפני מעמ2]]</f>
        <v>3591</v>
      </c>
    </row>
    <row r="5" spans="2:17" hidden="1" x14ac:dyDescent="0.25">
      <c r="B5">
        <v>3</v>
      </c>
      <c r="C5" t="s">
        <v>15</v>
      </c>
      <c r="D5">
        <v>3</v>
      </c>
      <c r="E5" s="13" t="s">
        <v>27</v>
      </c>
      <c r="F5">
        <v>60471</v>
      </c>
      <c r="G5" s="7">
        <v>46022</v>
      </c>
      <c r="H5" s="2" t="s">
        <v>28</v>
      </c>
      <c r="I5" s="2" t="s">
        <v>18</v>
      </c>
      <c r="J5" s="2" t="s">
        <v>25</v>
      </c>
      <c r="L5" s="2" t="s">
        <v>20</v>
      </c>
      <c r="M5" s="14" t="s">
        <v>26</v>
      </c>
      <c r="N5" s="2" t="s">
        <v>22</v>
      </c>
      <c r="O5" s="4">
        <v>19950</v>
      </c>
      <c r="P5">
        <v>23541</v>
      </c>
      <c r="Q5" s="21">
        <f>Table1[[#This Row],[סכום כולל מע"מ]]-Table1[[#This Row],[סכום לפני מעמ2]]</f>
        <v>3591</v>
      </c>
    </row>
    <row r="6" spans="2:17" hidden="1" x14ac:dyDescent="0.25">
      <c r="B6">
        <v>4</v>
      </c>
      <c r="C6" t="s">
        <v>15</v>
      </c>
      <c r="D6">
        <v>4</v>
      </c>
      <c r="E6" s="13" t="s">
        <v>29</v>
      </c>
      <c r="F6">
        <v>60471</v>
      </c>
      <c r="G6" s="7">
        <v>46022</v>
      </c>
      <c r="H6" s="2" t="s">
        <v>30</v>
      </c>
      <c r="I6" s="2" t="s">
        <v>18</v>
      </c>
      <c r="J6" s="2" t="s">
        <v>25</v>
      </c>
      <c r="L6" s="2" t="s">
        <v>20</v>
      </c>
      <c r="M6" s="14" t="s">
        <v>26</v>
      </c>
      <c r="N6" s="2" t="s">
        <v>22</v>
      </c>
      <c r="O6" s="4">
        <v>19950</v>
      </c>
      <c r="P6">
        <v>23541</v>
      </c>
      <c r="Q6" s="21">
        <f>Table1[[#This Row],[סכום כולל מע"מ]]-Table1[[#This Row],[סכום לפני מעמ2]]</f>
        <v>3591</v>
      </c>
    </row>
    <row r="7" spans="2:17" hidden="1" x14ac:dyDescent="0.25">
      <c r="B7">
        <v>5</v>
      </c>
      <c r="C7" t="s">
        <v>15</v>
      </c>
      <c r="D7">
        <v>5</v>
      </c>
      <c r="E7" s="13" t="s">
        <v>31</v>
      </c>
      <c r="F7">
        <v>60471</v>
      </c>
      <c r="G7" s="7">
        <v>46022</v>
      </c>
      <c r="H7" s="2" t="s">
        <v>32</v>
      </c>
      <c r="I7" s="2" t="s">
        <v>18</v>
      </c>
      <c r="J7" s="2" t="s">
        <v>33</v>
      </c>
      <c r="L7" s="2" t="s">
        <v>20</v>
      </c>
      <c r="M7" s="14" t="s">
        <v>34</v>
      </c>
      <c r="N7" s="2" t="s">
        <v>22</v>
      </c>
      <c r="O7" s="4">
        <v>19995</v>
      </c>
      <c r="P7">
        <v>23594.1</v>
      </c>
      <c r="Q7" s="21">
        <f>Table1[[#This Row],[סכום כולל מע"מ]]-Table1[[#This Row],[סכום לפני מעמ2]]</f>
        <v>3599.0999999999985</v>
      </c>
    </row>
    <row r="8" spans="2:17" hidden="1" x14ac:dyDescent="0.25">
      <c r="B8">
        <v>6</v>
      </c>
      <c r="C8" t="s">
        <v>15</v>
      </c>
      <c r="D8">
        <v>6</v>
      </c>
      <c r="E8" s="13" t="s">
        <v>35</v>
      </c>
      <c r="F8">
        <v>60471</v>
      </c>
      <c r="G8" s="7">
        <v>46022</v>
      </c>
      <c r="H8" s="2" t="s">
        <v>36</v>
      </c>
      <c r="I8" s="2" t="s">
        <v>18</v>
      </c>
      <c r="J8" s="2" t="s">
        <v>25</v>
      </c>
      <c r="L8" s="2" t="s">
        <v>20</v>
      </c>
      <c r="M8" s="14" t="s">
        <v>26</v>
      </c>
      <c r="N8" s="2" t="s">
        <v>22</v>
      </c>
      <c r="O8" s="4">
        <v>19980</v>
      </c>
      <c r="P8">
        <v>23576.400000000001</v>
      </c>
      <c r="Q8" s="21">
        <f>Table1[[#This Row],[סכום כולל מע"מ]]-Table1[[#This Row],[סכום לפני מעמ2]]</f>
        <v>3596.4000000000015</v>
      </c>
    </row>
    <row r="9" spans="2:17" hidden="1" x14ac:dyDescent="0.25">
      <c r="B9">
        <v>7</v>
      </c>
      <c r="C9" t="s">
        <v>15</v>
      </c>
      <c r="D9">
        <v>7</v>
      </c>
      <c r="E9" s="13" t="s">
        <v>37</v>
      </c>
      <c r="F9">
        <v>60471</v>
      </c>
      <c r="G9" s="7">
        <v>46022</v>
      </c>
      <c r="H9" s="2" t="s">
        <v>38</v>
      </c>
      <c r="I9" s="2" t="s">
        <v>18</v>
      </c>
      <c r="J9" s="2" t="s">
        <v>25</v>
      </c>
      <c r="L9" s="2" t="s">
        <v>20</v>
      </c>
      <c r="M9" s="14" t="s">
        <v>26</v>
      </c>
      <c r="N9" s="2" t="s">
        <v>22</v>
      </c>
      <c r="O9" s="4">
        <v>19950</v>
      </c>
      <c r="P9">
        <v>23541</v>
      </c>
      <c r="Q9" s="21">
        <f>Table1[[#This Row],[סכום כולל מע"מ]]-Table1[[#This Row],[סכום לפני מעמ2]]</f>
        <v>3591</v>
      </c>
    </row>
    <row r="10" spans="2:17" x14ac:dyDescent="0.25">
      <c r="B10">
        <v>8</v>
      </c>
      <c r="C10" t="s">
        <v>15</v>
      </c>
      <c r="D10">
        <v>8</v>
      </c>
      <c r="E10" s="13" t="s">
        <v>39</v>
      </c>
      <c r="F10">
        <v>60471</v>
      </c>
      <c r="G10" s="7">
        <v>46022</v>
      </c>
      <c r="H10" s="2" t="s">
        <v>40</v>
      </c>
      <c r="I10" s="2" t="s">
        <v>18</v>
      </c>
      <c r="J10" s="2" t="s">
        <v>25</v>
      </c>
      <c r="L10" s="2" t="s">
        <v>20</v>
      </c>
      <c r="M10" s="14" t="s">
        <v>26</v>
      </c>
      <c r="N10" s="2" t="s">
        <v>22</v>
      </c>
      <c r="O10" s="4">
        <v>1530</v>
      </c>
      <c r="P10">
        <v>1805.4</v>
      </c>
      <c r="Q10" s="21">
        <f>Table1[[#This Row],[סכום כולל מע"מ]]-Table1[[#This Row],[סכום לפני מעמ2]]</f>
        <v>275.40000000000009</v>
      </c>
    </row>
    <row r="11" spans="2:17" hidden="1" x14ac:dyDescent="0.25">
      <c r="B11">
        <v>9</v>
      </c>
      <c r="C11" t="s">
        <v>15</v>
      </c>
      <c r="D11">
        <v>9</v>
      </c>
      <c r="E11" s="13" t="s">
        <v>41</v>
      </c>
      <c r="F11">
        <v>60471</v>
      </c>
      <c r="G11" s="7">
        <v>46022</v>
      </c>
      <c r="H11" s="2" t="s">
        <v>42</v>
      </c>
      <c r="I11" s="2" t="s">
        <v>18</v>
      </c>
      <c r="J11" s="2" t="s">
        <v>25</v>
      </c>
      <c r="L11" s="2" t="s">
        <v>20</v>
      </c>
      <c r="M11" s="14" t="s">
        <v>26</v>
      </c>
      <c r="N11" s="2" t="s">
        <v>22</v>
      </c>
      <c r="O11" s="4">
        <v>19950</v>
      </c>
      <c r="P11">
        <v>23541</v>
      </c>
      <c r="Q11" s="21">
        <f>Table1[[#This Row],[סכום כולל מע"מ]]-Table1[[#This Row],[סכום לפני מעמ2]]</f>
        <v>3591</v>
      </c>
    </row>
    <row r="12" spans="2:17" hidden="1" x14ac:dyDescent="0.25">
      <c r="B12">
        <v>10</v>
      </c>
      <c r="C12" t="s">
        <v>15</v>
      </c>
      <c r="D12">
        <v>10</v>
      </c>
      <c r="E12" s="13" t="s">
        <v>43</v>
      </c>
      <c r="F12">
        <v>60471</v>
      </c>
      <c r="G12" s="7">
        <v>46022</v>
      </c>
      <c r="H12" s="2" t="s">
        <v>44</v>
      </c>
      <c r="I12" s="2" t="s">
        <v>18</v>
      </c>
      <c r="J12" s="2" t="s">
        <v>25</v>
      </c>
      <c r="L12" s="2" t="s">
        <v>20</v>
      </c>
      <c r="M12" s="14" t="s">
        <v>26</v>
      </c>
      <c r="N12" s="2" t="s">
        <v>22</v>
      </c>
      <c r="O12" s="4">
        <v>19950</v>
      </c>
      <c r="P12">
        <v>23541</v>
      </c>
      <c r="Q12" s="21">
        <f>Table1[[#This Row],[סכום כולל מע"מ]]-Table1[[#This Row],[סכום לפני מעמ2]]</f>
        <v>3591</v>
      </c>
    </row>
    <row r="13" spans="2:17" hidden="1" x14ac:dyDescent="0.25">
      <c r="B13">
        <v>11</v>
      </c>
      <c r="C13" t="s">
        <v>15</v>
      </c>
      <c r="D13">
        <v>11</v>
      </c>
      <c r="E13" s="13" t="s">
        <v>45</v>
      </c>
      <c r="F13">
        <v>60471</v>
      </c>
      <c r="G13" s="7">
        <v>46022</v>
      </c>
      <c r="H13" s="2" t="s">
        <v>46</v>
      </c>
      <c r="I13" s="2" t="s">
        <v>18</v>
      </c>
      <c r="J13" s="2" t="s">
        <v>25</v>
      </c>
      <c r="L13" s="2" t="s">
        <v>20</v>
      </c>
      <c r="M13" s="14" t="s">
        <v>26</v>
      </c>
      <c r="N13" s="2" t="s">
        <v>22</v>
      </c>
      <c r="O13" s="4">
        <v>19950</v>
      </c>
      <c r="P13">
        <v>23541</v>
      </c>
      <c r="Q13" s="21">
        <f>Table1[[#This Row],[סכום כולל מע"מ]]-Table1[[#This Row],[סכום לפני מעמ2]]</f>
        <v>3591</v>
      </c>
    </row>
    <row r="14" spans="2:17" hidden="1" x14ac:dyDescent="0.25">
      <c r="B14">
        <v>12</v>
      </c>
      <c r="C14" t="s">
        <v>15</v>
      </c>
      <c r="D14">
        <v>12</v>
      </c>
      <c r="E14" s="13" t="s">
        <v>47</v>
      </c>
      <c r="F14">
        <v>60471</v>
      </c>
      <c r="G14" s="7">
        <v>46022</v>
      </c>
      <c r="H14" s="2" t="s">
        <v>48</v>
      </c>
      <c r="I14" s="2" t="s">
        <v>18</v>
      </c>
      <c r="J14" s="2" t="s">
        <v>25</v>
      </c>
      <c r="L14" s="2" t="s">
        <v>20</v>
      </c>
      <c r="M14" s="14" t="s">
        <v>26</v>
      </c>
      <c r="N14" s="2" t="s">
        <v>22</v>
      </c>
      <c r="O14" s="4">
        <v>19980</v>
      </c>
      <c r="P14">
        <v>23576.400000000001</v>
      </c>
      <c r="Q14" s="21">
        <f>Table1[[#This Row],[סכום כולל מע"מ]]-Table1[[#This Row],[סכום לפני מעמ2]]</f>
        <v>3596.4000000000015</v>
      </c>
    </row>
    <row r="15" spans="2:17" hidden="1" x14ac:dyDescent="0.25">
      <c r="B15">
        <v>13</v>
      </c>
      <c r="C15" t="s">
        <v>15</v>
      </c>
      <c r="D15">
        <v>13</v>
      </c>
      <c r="E15" s="13" t="s">
        <v>49</v>
      </c>
      <c r="F15">
        <v>60471</v>
      </c>
      <c r="G15" s="7">
        <v>46022</v>
      </c>
      <c r="H15" s="2" t="s">
        <v>50</v>
      </c>
      <c r="I15" s="2" t="s">
        <v>18</v>
      </c>
      <c r="J15" s="2" t="s">
        <v>25</v>
      </c>
      <c r="L15" s="2" t="s">
        <v>20</v>
      </c>
      <c r="M15" s="14" t="s">
        <v>26</v>
      </c>
      <c r="N15" s="2" t="s">
        <v>22</v>
      </c>
      <c r="O15" s="4">
        <v>19950</v>
      </c>
      <c r="P15">
        <v>23541</v>
      </c>
      <c r="Q15" s="21">
        <f>Table1[[#This Row],[סכום כולל מע"מ]]-Table1[[#This Row],[סכום לפני מעמ2]]</f>
        <v>3591</v>
      </c>
    </row>
    <row r="16" spans="2:17" x14ac:dyDescent="0.25">
      <c r="B16">
        <v>14</v>
      </c>
      <c r="C16" t="s">
        <v>15</v>
      </c>
      <c r="D16">
        <v>14</v>
      </c>
      <c r="E16" s="13" t="s">
        <v>51</v>
      </c>
      <c r="F16">
        <v>60471</v>
      </c>
      <c r="G16" s="7">
        <v>46022</v>
      </c>
      <c r="H16" s="2" t="s">
        <v>52</v>
      </c>
      <c r="I16" s="2" t="s">
        <v>18</v>
      </c>
      <c r="J16" s="2" t="s">
        <v>25</v>
      </c>
      <c r="L16" s="2" t="s">
        <v>20</v>
      </c>
      <c r="M16" s="14" t="s">
        <v>26</v>
      </c>
      <c r="N16" s="2" t="s">
        <v>22</v>
      </c>
      <c r="O16" s="4">
        <v>11864.41</v>
      </c>
      <c r="P16">
        <v>14000</v>
      </c>
      <c r="Q16" s="21">
        <f>Table1[[#This Row],[סכום כולל מע"מ]]-Table1[[#This Row],[סכום לפני מעמ2]]</f>
        <v>2135.59</v>
      </c>
    </row>
    <row r="17" spans="2:17" x14ac:dyDescent="0.25">
      <c r="B17">
        <v>15</v>
      </c>
      <c r="C17" t="s">
        <v>15</v>
      </c>
      <c r="D17">
        <v>15</v>
      </c>
      <c r="E17" s="13" t="s">
        <v>53</v>
      </c>
      <c r="F17">
        <v>60471</v>
      </c>
      <c r="G17" s="7">
        <v>46022</v>
      </c>
      <c r="H17" s="2" t="s">
        <v>54</v>
      </c>
      <c r="I17" s="2" t="s">
        <v>18</v>
      </c>
      <c r="J17" s="2" t="s">
        <v>25</v>
      </c>
      <c r="L17" s="2" t="s">
        <v>20</v>
      </c>
      <c r="M17" s="14" t="s">
        <v>26</v>
      </c>
      <c r="N17" s="2" t="s">
        <v>22</v>
      </c>
      <c r="O17" s="4">
        <v>1530</v>
      </c>
      <c r="P17">
        <v>1805.4</v>
      </c>
      <c r="Q17" s="21">
        <f>Table1[[#This Row],[סכום כולל מע"מ]]-Table1[[#This Row],[סכום לפני מעמ2]]</f>
        <v>275.40000000000009</v>
      </c>
    </row>
    <row r="18" spans="2:17" hidden="1" x14ac:dyDescent="0.25">
      <c r="B18">
        <v>16</v>
      </c>
      <c r="C18" t="s">
        <v>15</v>
      </c>
      <c r="D18">
        <v>16</v>
      </c>
      <c r="E18" s="13" t="s">
        <v>55</v>
      </c>
      <c r="F18">
        <v>60471</v>
      </c>
      <c r="G18" s="7">
        <v>46022</v>
      </c>
      <c r="H18" s="2" t="s">
        <v>56</v>
      </c>
      <c r="I18" s="2" t="s">
        <v>18</v>
      </c>
      <c r="J18" s="2" t="s">
        <v>25</v>
      </c>
      <c r="L18" s="2" t="s">
        <v>20</v>
      </c>
      <c r="M18" s="14" t="s">
        <v>26</v>
      </c>
      <c r="N18" s="2" t="s">
        <v>22</v>
      </c>
      <c r="O18" s="4">
        <v>19950</v>
      </c>
      <c r="P18">
        <v>23541</v>
      </c>
      <c r="Q18" s="21">
        <f>Table1[[#This Row],[סכום כולל מע"מ]]-Table1[[#This Row],[סכום לפני מעמ2]]</f>
        <v>3591</v>
      </c>
    </row>
    <row r="19" spans="2:17" hidden="1" x14ac:dyDescent="0.25">
      <c r="B19">
        <v>17</v>
      </c>
      <c r="C19" t="s">
        <v>15</v>
      </c>
      <c r="D19">
        <v>17</v>
      </c>
      <c r="E19" s="13" t="s">
        <v>57</v>
      </c>
      <c r="F19">
        <v>60471</v>
      </c>
      <c r="G19" s="7">
        <v>46022</v>
      </c>
      <c r="H19" s="2" t="s">
        <v>58</v>
      </c>
      <c r="I19" s="2" t="s">
        <v>18</v>
      </c>
      <c r="J19" s="2" t="s">
        <v>59</v>
      </c>
      <c r="L19" s="2" t="s">
        <v>20</v>
      </c>
      <c r="M19" s="14" t="s">
        <v>60</v>
      </c>
      <c r="N19" s="2" t="s">
        <v>22</v>
      </c>
      <c r="O19" s="4">
        <v>19970</v>
      </c>
      <c r="P19">
        <v>23564.6</v>
      </c>
      <c r="Q19" s="21">
        <f>Table1[[#This Row],[סכום כולל מע"מ]]-Table1[[#This Row],[סכום לפני מעמ2]]</f>
        <v>3594.5999999999985</v>
      </c>
    </row>
    <row r="20" spans="2:17" hidden="1" x14ac:dyDescent="0.25">
      <c r="B20">
        <v>18</v>
      </c>
      <c r="C20" t="s">
        <v>15</v>
      </c>
      <c r="D20">
        <v>18</v>
      </c>
      <c r="E20" s="13" t="s">
        <v>61</v>
      </c>
      <c r="F20">
        <v>60471</v>
      </c>
      <c r="G20" s="7">
        <v>46022</v>
      </c>
      <c r="H20" s="2" t="s">
        <v>62</v>
      </c>
      <c r="I20" s="2" t="s">
        <v>18</v>
      </c>
      <c r="J20" s="2" t="s">
        <v>25</v>
      </c>
      <c r="L20" s="2" t="s">
        <v>20</v>
      </c>
      <c r="M20" s="14" t="s">
        <v>26</v>
      </c>
      <c r="N20" s="2" t="s">
        <v>22</v>
      </c>
      <c r="O20" s="4">
        <v>19980</v>
      </c>
      <c r="P20">
        <v>23576.400000000001</v>
      </c>
      <c r="Q20" s="21">
        <f>Table1[[#This Row],[סכום כולל מע"מ]]-Table1[[#This Row],[סכום לפני מעמ2]]</f>
        <v>3596.4000000000015</v>
      </c>
    </row>
    <row r="21" spans="2:17" hidden="1" x14ac:dyDescent="0.25">
      <c r="B21">
        <v>19</v>
      </c>
      <c r="C21" t="s">
        <v>15</v>
      </c>
      <c r="D21">
        <v>19</v>
      </c>
      <c r="E21" s="13" t="s">
        <v>63</v>
      </c>
      <c r="F21">
        <v>60471</v>
      </c>
      <c r="G21" s="7">
        <v>46022</v>
      </c>
      <c r="H21" s="2" t="s">
        <v>64</v>
      </c>
      <c r="I21" s="2" t="s">
        <v>18</v>
      </c>
      <c r="J21" s="2" t="s">
        <v>19</v>
      </c>
      <c r="L21" s="2" t="s">
        <v>20</v>
      </c>
      <c r="M21" s="14" t="s">
        <v>21</v>
      </c>
      <c r="N21" s="2" t="s">
        <v>22</v>
      </c>
      <c r="O21" s="4">
        <v>19950</v>
      </c>
      <c r="P21">
        <v>23541</v>
      </c>
      <c r="Q21" s="21">
        <f>Table1[[#This Row],[סכום כולל מע"מ]]-Table1[[#This Row],[סכום לפני מעמ2]]</f>
        <v>3591</v>
      </c>
    </row>
    <row r="22" spans="2:17" hidden="1" x14ac:dyDescent="0.25">
      <c r="B22">
        <v>20</v>
      </c>
      <c r="C22" t="s">
        <v>15</v>
      </c>
      <c r="D22">
        <v>20</v>
      </c>
      <c r="E22" s="13" t="s">
        <v>65</v>
      </c>
      <c r="F22">
        <v>60471</v>
      </c>
      <c r="G22" s="7">
        <v>46022</v>
      </c>
      <c r="H22" s="2" t="s">
        <v>66</v>
      </c>
      <c r="I22" s="2" t="s">
        <v>18</v>
      </c>
      <c r="J22" s="2" t="s">
        <v>59</v>
      </c>
      <c r="L22" s="2" t="s">
        <v>20</v>
      </c>
      <c r="M22" s="14" t="s">
        <v>60</v>
      </c>
      <c r="N22" s="2" t="s">
        <v>22</v>
      </c>
      <c r="O22" s="4">
        <v>19970</v>
      </c>
      <c r="P22">
        <v>23564.6</v>
      </c>
      <c r="Q22" s="21">
        <f>Table1[[#This Row],[סכום כולל מע"מ]]-Table1[[#This Row],[סכום לפני מעמ2]]</f>
        <v>3594.5999999999985</v>
      </c>
    </row>
    <row r="23" spans="2:17" hidden="1" x14ac:dyDescent="0.25">
      <c r="B23">
        <v>21</v>
      </c>
      <c r="C23" t="s">
        <v>15</v>
      </c>
      <c r="D23">
        <v>21</v>
      </c>
      <c r="E23" s="13" t="s">
        <v>67</v>
      </c>
      <c r="F23">
        <v>60471</v>
      </c>
      <c r="G23" s="7">
        <v>46022</v>
      </c>
      <c r="H23" s="2" t="s">
        <v>68</v>
      </c>
      <c r="I23" s="2" t="s">
        <v>18</v>
      </c>
      <c r="J23" s="2" t="s">
        <v>25</v>
      </c>
      <c r="L23" s="2" t="s">
        <v>20</v>
      </c>
      <c r="M23" s="14" t="s">
        <v>26</v>
      </c>
      <c r="N23" s="2" t="s">
        <v>22</v>
      </c>
      <c r="O23" s="4">
        <v>19995</v>
      </c>
      <c r="P23">
        <v>23594.1</v>
      </c>
      <c r="Q23" s="21">
        <f>Table1[[#This Row],[סכום כולל מע"מ]]-Table1[[#This Row],[סכום לפני מעמ2]]</f>
        <v>3599.0999999999985</v>
      </c>
    </row>
    <row r="24" spans="2:17" hidden="1" x14ac:dyDescent="0.25">
      <c r="B24">
        <v>22</v>
      </c>
      <c r="C24" t="s">
        <v>15</v>
      </c>
      <c r="D24">
        <v>22</v>
      </c>
      <c r="E24" s="13" t="s">
        <v>69</v>
      </c>
      <c r="F24">
        <v>60471</v>
      </c>
      <c r="G24" s="7">
        <v>46022</v>
      </c>
      <c r="H24" s="2" t="s">
        <v>70</v>
      </c>
      <c r="I24" s="2" t="s">
        <v>18</v>
      </c>
      <c r="J24" s="2" t="s">
        <v>33</v>
      </c>
      <c r="L24" s="2" t="s">
        <v>20</v>
      </c>
      <c r="M24" s="14" t="s">
        <v>34</v>
      </c>
      <c r="N24" s="2" t="s">
        <v>22</v>
      </c>
      <c r="O24" s="4">
        <v>19995</v>
      </c>
      <c r="P24">
        <v>23594.1</v>
      </c>
      <c r="Q24" s="21">
        <f>Table1[[#This Row],[סכום כולל מע"מ]]-Table1[[#This Row],[סכום לפני מעמ2]]</f>
        <v>3599.0999999999985</v>
      </c>
    </row>
    <row r="25" spans="2:17" hidden="1" x14ac:dyDescent="0.25">
      <c r="B25">
        <v>23</v>
      </c>
      <c r="C25" t="s">
        <v>15</v>
      </c>
      <c r="D25">
        <v>23</v>
      </c>
      <c r="E25" s="13" t="s">
        <v>71</v>
      </c>
      <c r="F25">
        <v>60471</v>
      </c>
      <c r="G25" s="7">
        <v>46022</v>
      </c>
      <c r="H25" s="2" t="s">
        <v>72</v>
      </c>
      <c r="I25" s="2" t="s">
        <v>18</v>
      </c>
      <c r="J25" s="2" t="s">
        <v>59</v>
      </c>
      <c r="L25" s="2" t="s">
        <v>20</v>
      </c>
      <c r="M25" s="14" t="s">
        <v>60</v>
      </c>
      <c r="N25" s="2" t="s">
        <v>22</v>
      </c>
      <c r="O25" s="4">
        <v>19970</v>
      </c>
      <c r="P25">
        <v>23564.6</v>
      </c>
      <c r="Q25" s="21">
        <f>Table1[[#This Row],[סכום כולל מע"מ]]-Table1[[#This Row],[סכום לפני מעמ2]]</f>
        <v>3594.5999999999985</v>
      </c>
    </row>
    <row r="26" spans="2:17" hidden="1" x14ac:dyDescent="0.25">
      <c r="B26">
        <v>24</v>
      </c>
      <c r="C26" t="s">
        <v>15</v>
      </c>
      <c r="D26">
        <v>24</v>
      </c>
      <c r="E26" s="13" t="s">
        <v>73</v>
      </c>
      <c r="F26">
        <v>60471</v>
      </c>
      <c r="G26" s="7">
        <v>46022</v>
      </c>
      <c r="H26" s="2" t="s">
        <v>74</v>
      </c>
      <c r="I26" s="2" t="s">
        <v>18</v>
      </c>
      <c r="J26" s="2" t="s">
        <v>59</v>
      </c>
      <c r="L26" s="2" t="s">
        <v>20</v>
      </c>
      <c r="M26" s="14" t="s">
        <v>60</v>
      </c>
      <c r="N26" s="2" t="s">
        <v>22</v>
      </c>
      <c r="O26" s="4">
        <v>19970</v>
      </c>
      <c r="P26">
        <v>23564.6</v>
      </c>
      <c r="Q26" s="21">
        <f>Table1[[#This Row],[סכום כולל מע"מ]]-Table1[[#This Row],[סכום לפני מעמ2]]</f>
        <v>3594.5999999999985</v>
      </c>
    </row>
    <row r="27" spans="2:17" hidden="1" x14ac:dyDescent="0.25">
      <c r="B27">
        <v>25</v>
      </c>
      <c r="C27" t="s">
        <v>15</v>
      </c>
      <c r="D27">
        <v>25</v>
      </c>
      <c r="E27" s="13" t="s">
        <v>75</v>
      </c>
      <c r="F27">
        <v>60471</v>
      </c>
      <c r="G27" s="7">
        <v>46022</v>
      </c>
      <c r="H27" s="2" t="s">
        <v>76</v>
      </c>
      <c r="I27" s="2" t="s">
        <v>18</v>
      </c>
      <c r="J27" s="2" t="s">
        <v>25</v>
      </c>
      <c r="L27" s="2" t="s">
        <v>20</v>
      </c>
      <c r="M27" s="14" t="s">
        <v>26</v>
      </c>
      <c r="N27" s="2" t="s">
        <v>22</v>
      </c>
      <c r="O27" s="4">
        <v>19950</v>
      </c>
      <c r="P27">
        <v>23541</v>
      </c>
      <c r="Q27" s="21">
        <f>Table1[[#This Row],[סכום כולל מע"מ]]-Table1[[#This Row],[סכום לפני מעמ2]]</f>
        <v>3591</v>
      </c>
    </row>
    <row r="28" spans="2:17" hidden="1" x14ac:dyDescent="0.25">
      <c r="B28">
        <v>26</v>
      </c>
      <c r="C28" t="s">
        <v>15</v>
      </c>
      <c r="D28">
        <v>26</v>
      </c>
      <c r="E28" s="13" t="s">
        <v>77</v>
      </c>
      <c r="F28">
        <v>60471</v>
      </c>
      <c r="G28" s="7">
        <v>46022</v>
      </c>
      <c r="H28" s="2" t="s">
        <v>78</v>
      </c>
      <c r="I28" s="2" t="s">
        <v>18</v>
      </c>
      <c r="J28" s="2" t="s">
        <v>19</v>
      </c>
      <c r="L28" s="2" t="s">
        <v>20</v>
      </c>
      <c r="M28" s="14" t="s">
        <v>21</v>
      </c>
      <c r="N28" s="2" t="s">
        <v>22</v>
      </c>
      <c r="O28" s="4">
        <v>19950</v>
      </c>
      <c r="P28">
        <v>23541</v>
      </c>
      <c r="Q28" s="21">
        <f>Table1[[#This Row],[סכום כולל מע"מ]]-Table1[[#This Row],[סכום לפני מעמ2]]</f>
        <v>3591</v>
      </c>
    </row>
    <row r="29" spans="2:17" hidden="1" x14ac:dyDescent="0.25">
      <c r="B29">
        <v>27</v>
      </c>
      <c r="C29" t="s">
        <v>15</v>
      </c>
      <c r="D29">
        <v>27</v>
      </c>
      <c r="E29" s="13" t="s">
        <v>79</v>
      </c>
      <c r="F29">
        <v>60471</v>
      </c>
      <c r="G29" s="7">
        <v>46022</v>
      </c>
      <c r="H29" s="2" t="s">
        <v>80</v>
      </c>
      <c r="I29" s="2" t="s">
        <v>18</v>
      </c>
      <c r="J29" s="2" t="s">
        <v>19</v>
      </c>
      <c r="L29" s="2" t="s">
        <v>20</v>
      </c>
      <c r="M29" s="14" t="s">
        <v>21</v>
      </c>
      <c r="N29" s="2" t="s">
        <v>22</v>
      </c>
      <c r="O29" s="4">
        <v>19995</v>
      </c>
      <c r="P29">
        <v>23594.1</v>
      </c>
      <c r="Q29" s="21">
        <f>Table1[[#This Row],[סכום כולל מע"מ]]-Table1[[#This Row],[סכום לפני מעמ2]]</f>
        <v>3599.0999999999985</v>
      </c>
    </row>
    <row r="30" spans="2:17" hidden="1" x14ac:dyDescent="0.25">
      <c r="B30">
        <v>28</v>
      </c>
      <c r="C30" t="s">
        <v>15</v>
      </c>
      <c r="D30">
        <v>28</v>
      </c>
      <c r="E30" s="13" t="s">
        <v>81</v>
      </c>
      <c r="F30">
        <v>60471</v>
      </c>
      <c r="G30" s="7">
        <v>46022</v>
      </c>
      <c r="H30" s="2" t="s">
        <v>82</v>
      </c>
      <c r="I30" s="2" t="s">
        <v>18</v>
      </c>
      <c r="J30" s="2" t="s">
        <v>59</v>
      </c>
      <c r="L30" s="2" t="s">
        <v>20</v>
      </c>
      <c r="M30" s="14" t="s">
        <v>60</v>
      </c>
      <c r="N30" s="2" t="s">
        <v>22</v>
      </c>
      <c r="O30" s="4">
        <v>19970</v>
      </c>
      <c r="P30">
        <v>23564.6</v>
      </c>
      <c r="Q30" s="21">
        <f>Table1[[#This Row],[סכום כולל מע"מ]]-Table1[[#This Row],[סכום לפני מעמ2]]</f>
        <v>3594.5999999999985</v>
      </c>
    </row>
    <row r="31" spans="2:17" hidden="1" x14ac:dyDescent="0.25">
      <c r="B31">
        <v>29</v>
      </c>
      <c r="C31" t="s">
        <v>15</v>
      </c>
      <c r="D31">
        <v>29</v>
      </c>
      <c r="E31" s="13" t="s">
        <v>83</v>
      </c>
      <c r="F31">
        <v>60471</v>
      </c>
      <c r="G31" s="7">
        <v>46022</v>
      </c>
      <c r="H31" s="2" t="s">
        <v>84</v>
      </c>
      <c r="I31" s="2" t="s">
        <v>18</v>
      </c>
      <c r="J31" s="2" t="s">
        <v>59</v>
      </c>
      <c r="L31" s="2" t="s">
        <v>20</v>
      </c>
      <c r="M31" s="14" t="s">
        <v>60</v>
      </c>
      <c r="N31" s="2" t="s">
        <v>22</v>
      </c>
      <c r="O31" s="4">
        <v>19970</v>
      </c>
      <c r="P31">
        <v>23564.6</v>
      </c>
      <c r="Q31" s="21">
        <f>Table1[[#This Row],[סכום כולל מע"מ]]-Table1[[#This Row],[סכום לפני מעמ2]]</f>
        <v>3594.5999999999985</v>
      </c>
    </row>
    <row r="32" spans="2:17" hidden="1" x14ac:dyDescent="0.25">
      <c r="B32">
        <v>30</v>
      </c>
      <c r="C32" t="s">
        <v>15</v>
      </c>
      <c r="D32">
        <v>30</v>
      </c>
      <c r="E32" s="13" t="s">
        <v>85</v>
      </c>
      <c r="F32">
        <v>60471</v>
      </c>
      <c r="G32" s="7">
        <v>46022</v>
      </c>
      <c r="H32" s="2" t="s">
        <v>86</v>
      </c>
      <c r="I32" s="2" t="s">
        <v>18</v>
      </c>
      <c r="J32" s="2" t="s">
        <v>25</v>
      </c>
      <c r="L32" s="2" t="s">
        <v>20</v>
      </c>
      <c r="M32" s="14" t="s">
        <v>26</v>
      </c>
      <c r="N32" s="2" t="s">
        <v>22</v>
      </c>
      <c r="O32" s="4">
        <v>19950</v>
      </c>
      <c r="P32">
        <v>23541</v>
      </c>
      <c r="Q32" s="21">
        <f>Table1[[#This Row],[סכום כולל מע"מ]]-Table1[[#This Row],[סכום לפני מעמ2]]</f>
        <v>3591</v>
      </c>
    </row>
    <row r="33" spans="2:17" hidden="1" x14ac:dyDescent="0.25">
      <c r="B33">
        <v>31</v>
      </c>
      <c r="C33" t="s">
        <v>15</v>
      </c>
      <c r="D33">
        <v>31</v>
      </c>
      <c r="E33" s="13" t="s">
        <v>87</v>
      </c>
      <c r="F33">
        <v>60471</v>
      </c>
      <c r="G33" s="7">
        <v>46022</v>
      </c>
      <c r="H33" s="2" t="s">
        <v>88</v>
      </c>
      <c r="I33" s="2" t="s">
        <v>18</v>
      </c>
      <c r="J33" s="2" t="s">
        <v>59</v>
      </c>
      <c r="L33" s="2" t="s">
        <v>20</v>
      </c>
      <c r="M33" s="14" t="s">
        <v>60</v>
      </c>
      <c r="N33" s="2" t="s">
        <v>22</v>
      </c>
      <c r="O33" s="4">
        <v>19995</v>
      </c>
      <c r="P33">
        <v>23594.1</v>
      </c>
      <c r="Q33" s="21">
        <f>Table1[[#This Row],[סכום כולל מע"מ]]-Table1[[#This Row],[סכום לפני מעמ2]]</f>
        <v>3599.0999999999985</v>
      </c>
    </row>
    <row r="34" spans="2:17" hidden="1" x14ac:dyDescent="0.25">
      <c r="B34">
        <v>32</v>
      </c>
      <c r="C34" t="s">
        <v>15</v>
      </c>
      <c r="D34">
        <v>32</v>
      </c>
      <c r="E34" s="13" t="s">
        <v>89</v>
      </c>
      <c r="F34">
        <v>60471</v>
      </c>
      <c r="G34" s="7">
        <v>46022</v>
      </c>
      <c r="H34" s="2" t="s">
        <v>90</v>
      </c>
      <c r="I34" s="2" t="s">
        <v>18</v>
      </c>
      <c r="J34" s="2" t="s">
        <v>25</v>
      </c>
      <c r="L34" s="2" t="s">
        <v>20</v>
      </c>
      <c r="M34" s="14" t="s">
        <v>26</v>
      </c>
      <c r="N34" s="2" t="s">
        <v>22</v>
      </c>
      <c r="O34" s="4">
        <v>19950</v>
      </c>
      <c r="P34">
        <v>23541</v>
      </c>
      <c r="Q34" s="21">
        <f>Table1[[#This Row],[סכום כולל מע"מ]]-Table1[[#This Row],[סכום לפני מעמ2]]</f>
        <v>3591</v>
      </c>
    </row>
    <row r="35" spans="2:17" hidden="1" x14ac:dyDescent="0.25">
      <c r="B35">
        <v>33</v>
      </c>
      <c r="C35" t="s">
        <v>15</v>
      </c>
      <c r="D35">
        <v>33</v>
      </c>
      <c r="E35" s="13" t="s">
        <v>91</v>
      </c>
      <c r="F35">
        <v>60471</v>
      </c>
      <c r="G35" s="7">
        <v>46022</v>
      </c>
      <c r="H35" s="2" t="s">
        <v>92</v>
      </c>
      <c r="I35" s="2" t="s">
        <v>18</v>
      </c>
      <c r="J35" s="2" t="s">
        <v>25</v>
      </c>
      <c r="L35" s="2" t="s">
        <v>20</v>
      </c>
      <c r="M35" s="14" t="s">
        <v>26</v>
      </c>
      <c r="N35" s="2" t="s">
        <v>22</v>
      </c>
      <c r="O35" s="4">
        <v>19950</v>
      </c>
      <c r="P35">
        <v>23541</v>
      </c>
      <c r="Q35" s="21">
        <f>Table1[[#This Row],[סכום כולל מע"מ]]-Table1[[#This Row],[סכום לפני מעמ2]]</f>
        <v>3591</v>
      </c>
    </row>
    <row r="36" spans="2:17" hidden="1" x14ac:dyDescent="0.25">
      <c r="B36">
        <v>34</v>
      </c>
      <c r="C36" t="s">
        <v>15</v>
      </c>
      <c r="D36">
        <v>34</v>
      </c>
      <c r="E36" s="13" t="s">
        <v>93</v>
      </c>
      <c r="F36">
        <v>60471</v>
      </c>
      <c r="G36" s="7">
        <v>46022</v>
      </c>
      <c r="H36" s="2" t="s">
        <v>94</v>
      </c>
      <c r="I36" s="2" t="s">
        <v>18</v>
      </c>
      <c r="J36" s="2" t="s">
        <v>25</v>
      </c>
      <c r="L36" s="2" t="s">
        <v>20</v>
      </c>
      <c r="M36" s="14" t="s">
        <v>26</v>
      </c>
      <c r="N36" s="2" t="s">
        <v>22</v>
      </c>
      <c r="O36" s="4">
        <v>19950</v>
      </c>
      <c r="P36">
        <v>23541</v>
      </c>
      <c r="Q36" s="21">
        <f>Table1[[#This Row],[סכום כולל מע"מ]]-Table1[[#This Row],[סכום לפני מעמ2]]</f>
        <v>3591</v>
      </c>
    </row>
    <row r="37" spans="2:17" hidden="1" x14ac:dyDescent="0.25">
      <c r="B37">
        <v>35</v>
      </c>
      <c r="C37" t="s">
        <v>15</v>
      </c>
      <c r="D37">
        <v>35</v>
      </c>
      <c r="E37" s="13" t="s">
        <v>95</v>
      </c>
      <c r="F37">
        <v>60471</v>
      </c>
      <c r="G37" s="7">
        <v>46022</v>
      </c>
      <c r="H37" s="2" t="s">
        <v>96</v>
      </c>
      <c r="I37" s="2" t="s">
        <v>18</v>
      </c>
      <c r="J37" s="2" t="s">
        <v>59</v>
      </c>
      <c r="L37" s="2" t="s">
        <v>20</v>
      </c>
      <c r="M37" s="14" t="s">
        <v>60</v>
      </c>
      <c r="N37" s="2" t="s">
        <v>22</v>
      </c>
      <c r="O37" s="4">
        <v>19970</v>
      </c>
      <c r="P37">
        <v>23564.6</v>
      </c>
      <c r="Q37" s="21">
        <f>Table1[[#This Row],[סכום כולל מע"מ]]-Table1[[#This Row],[סכום לפני מעמ2]]</f>
        <v>3594.5999999999985</v>
      </c>
    </row>
    <row r="38" spans="2:17" hidden="1" x14ac:dyDescent="0.25">
      <c r="B38">
        <v>36</v>
      </c>
      <c r="C38" t="s">
        <v>15</v>
      </c>
      <c r="D38">
        <v>36</v>
      </c>
      <c r="E38" s="13" t="s">
        <v>97</v>
      </c>
      <c r="F38">
        <v>60471</v>
      </c>
      <c r="G38" s="7">
        <v>46022</v>
      </c>
      <c r="H38" s="2" t="s">
        <v>98</v>
      </c>
      <c r="I38" s="2" t="s">
        <v>18</v>
      </c>
      <c r="J38" s="2" t="s">
        <v>25</v>
      </c>
      <c r="L38" s="2" t="s">
        <v>20</v>
      </c>
      <c r="M38" s="14" t="s">
        <v>26</v>
      </c>
      <c r="N38" s="2" t="s">
        <v>22</v>
      </c>
      <c r="O38" s="4">
        <v>19950</v>
      </c>
      <c r="P38">
        <v>23541</v>
      </c>
      <c r="Q38" s="21">
        <f>Table1[[#This Row],[סכום כולל מע"מ]]-Table1[[#This Row],[סכום לפני מעמ2]]</f>
        <v>3591</v>
      </c>
    </row>
    <row r="39" spans="2:17" hidden="1" x14ac:dyDescent="0.25">
      <c r="B39">
        <v>37</v>
      </c>
      <c r="C39" t="s">
        <v>15</v>
      </c>
      <c r="D39">
        <v>37</v>
      </c>
      <c r="E39" s="13" t="s">
        <v>99</v>
      </c>
      <c r="F39">
        <v>60471</v>
      </c>
      <c r="G39" s="7">
        <v>46022</v>
      </c>
      <c r="H39" s="2" t="s">
        <v>100</v>
      </c>
      <c r="I39" s="2" t="s">
        <v>18</v>
      </c>
      <c r="J39" s="2" t="s">
        <v>25</v>
      </c>
      <c r="L39" s="2" t="s">
        <v>20</v>
      </c>
      <c r="M39" s="14" t="s">
        <v>26</v>
      </c>
      <c r="N39" s="2" t="s">
        <v>22</v>
      </c>
      <c r="O39" s="4">
        <v>19950</v>
      </c>
      <c r="P39">
        <v>23541</v>
      </c>
      <c r="Q39" s="21">
        <f>Table1[[#This Row],[סכום כולל מע"מ]]-Table1[[#This Row],[סכום לפני מעמ2]]</f>
        <v>3591</v>
      </c>
    </row>
    <row r="40" spans="2:17" x14ac:dyDescent="0.25">
      <c r="B40">
        <v>38</v>
      </c>
      <c r="C40" t="s">
        <v>15</v>
      </c>
      <c r="D40">
        <v>38</v>
      </c>
      <c r="E40" s="13" t="s">
        <v>101</v>
      </c>
      <c r="F40">
        <v>60471</v>
      </c>
      <c r="G40" s="7">
        <v>46022</v>
      </c>
      <c r="H40" s="2" t="s">
        <v>102</v>
      </c>
      <c r="I40" s="2" t="s">
        <v>18</v>
      </c>
      <c r="J40" s="2" t="s">
        <v>25</v>
      </c>
      <c r="L40" s="2" t="s">
        <v>20</v>
      </c>
      <c r="M40" s="14" t="s">
        <v>26</v>
      </c>
      <c r="N40" s="2" t="s">
        <v>22</v>
      </c>
      <c r="O40" s="4">
        <v>1530</v>
      </c>
      <c r="P40">
        <v>1805.4</v>
      </c>
      <c r="Q40" s="21">
        <f>Table1[[#This Row],[סכום כולל מע"מ]]-Table1[[#This Row],[סכום לפני מעמ2]]</f>
        <v>275.40000000000009</v>
      </c>
    </row>
    <row r="41" spans="2:17" hidden="1" x14ac:dyDescent="0.25">
      <c r="B41">
        <v>39</v>
      </c>
      <c r="C41" t="s">
        <v>15</v>
      </c>
      <c r="D41">
        <v>39</v>
      </c>
      <c r="E41" s="13" t="s">
        <v>103</v>
      </c>
      <c r="F41">
        <v>60471</v>
      </c>
      <c r="G41" s="7">
        <v>46022</v>
      </c>
      <c r="H41" s="2" t="s">
        <v>104</v>
      </c>
      <c r="I41" s="2" t="s">
        <v>18</v>
      </c>
      <c r="J41" s="2" t="s">
        <v>59</v>
      </c>
      <c r="L41" s="2" t="s">
        <v>20</v>
      </c>
      <c r="M41" s="14" t="s">
        <v>60</v>
      </c>
      <c r="N41" s="2" t="s">
        <v>22</v>
      </c>
      <c r="O41" s="4">
        <v>19970</v>
      </c>
      <c r="P41">
        <v>23564.6</v>
      </c>
      <c r="Q41" s="21">
        <f>Table1[[#This Row],[סכום כולל מע"מ]]-Table1[[#This Row],[סכום לפני מעמ2]]</f>
        <v>3594.5999999999985</v>
      </c>
    </row>
    <row r="42" spans="2:17" hidden="1" x14ac:dyDescent="0.25">
      <c r="B42">
        <v>40</v>
      </c>
      <c r="C42" t="s">
        <v>15</v>
      </c>
      <c r="D42">
        <v>40</v>
      </c>
      <c r="E42" s="13" t="s">
        <v>105</v>
      </c>
      <c r="F42">
        <v>60471</v>
      </c>
      <c r="G42" s="7">
        <v>46022</v>
      </c>
      <c r="H42" s="2" t="s">
        <v>106</v>
      </c>
      <c r="I42" s="2" t="s">
        <v>18</v>
      </c>
      <c r="J42" s="2" t="s">
        <v>19</v>
      </c>
      <c r="L42" s="2" t="s">
        <v>20</v>
      </c>
      <c r="M42" s="14" t="s">
        <v>21</v>
      </c>
      <c r="N42" s="2" t="s">
        <v>22</v>
      </c>
      <c r="O42" s="4">
        <v>19995</v>
      </c>
      <c r="P42">
        <v>23594.1</v>
      </c>
      <c r="Q42" s="21">
        <f>Table1[[#This Row],[סכום כולל מע"מ]]-Table1[[#This Row],[סכום לפני מעמ2]]</f>
        <v>3599.0999999999985</v>
      </c>
    </row>
    <row r="43" spans="2:17" hidden="1" x14ac:dyDescent="0.25">
      <c r="B43">
        <v>41</v>
      </c>
      <c r="C43" t="s">
        <v>15</v>
      </c>
      <c r="D43">
        <v>41</v>
      </c>
      <c r="E43" s="13" t="s">
        <v>107</v>
      </c>
      <c r="F43">
        <v>60471</v>
      </c>
      <c r="G43" s="7">
        <v>46022</v>
      </c>
      <c r="H43" s="2" t="s">
        <v>108</v>
      </c>
      <c r="I43" s="2" t="s">
        <v>18</v>
      </c>
      <c r="J43" s="2" t="s">
        <v>25</v>
      </c>
      <c r="L43" s="2" t="s">
        <v>20</v>
      </c>
      <c r="M43" s="14" t="s">
        <v>26</v>
      </c>
      <c r="N43" s="2" t="s">
        <v>22</v>
      </c>
      <c r="O43" s="4">
        <v>19950</v>
      </c>
      <c r="P43">
        <v>23541</v>
      </c>
      <c r="Q43" s="21">
        <f>Table1[[#This Row],[סכום כולל מע"מ]]-Table1[[#This Row],[סכום לפני מעמ2]]</f>
        <v>3591</v>
      </c>
    </row>
    <row r="44" spans="2:17" x14ac:dyDescent="0.25">
      <c r="B44">
        <v>42</v>
      </c>
      <c r="C44" t="s">
        <v>15</v>
      </c>
      <c r="D44">
        <v>42</v>
      </c>
      <c r="E44" s="13" t="s">
        <v>109</v>
      </c>
      <c r="F44">
        <v>60471</v>
      </c>
      <c r="G44" s="7">
        <v>46022</v>
      </c>
      <c r="H44" s="2" t="s">
        <v>110</v>
      </c>
      <c r="I44" s="2" t="s">
        <v>18</v>
      </c>
      <c r="J44" s="2" t="s">
        <v>25</v>
      </c>
      <c r="L44" s="2" t="s">
        <v>20</v>
      </c>
      <c r="M44" s="14" t="s">
        <v>26</v>
      </c>
      <c r="N44" s="2" t="s">
        <v>22</v>
      </c>
      <c r="O44" s="4">
        <v>1530</v>
      </c>
      <c r="P44">
        <v>1805.4</v>
      </c>
      <c r="Q44" s="21">
        <f>Table1[[#This Row],[סכום כולל מע"מ]]-Table1[[#This Row],[סכום לפני מעמ2]]</f>
        <v>275.40000000000009</v>
      </c>
    </row>
    <row r="45" spans="2:17" hidden="1" x14ac:dyDescent="0.25">
      <c r="B45">
        <v>43</v>
      </c>
      <c r="C45" t="s">
        <v>15</v>
      </c>
      <c r="D45">
        <v>43</v>
      </c>
      <c r="E45" s="13" t="s">
        <v>111</v>
      </c>
      <c r="F45">
        <v>60471</v>
      </c>
      <c r="G45" s="7">
        <v>46022</v>
      </c>
      <c r="H45" s="2" t="s">
        <v>112</v>
      </c>
      <c r="I45" s="2" t="s">
        <v>18</v>
      </c>
      <c r="J45" s="2" t="s">
        <v>59</v>
      </c>
      <c r="L45" s="2" t="s">
        <v>20</v>
      </c>
      <c r="M45" s="14" t="s">
        <v>60</v>
      </c>
      <c r="N45" s="2" t="s">
        <v>22</v>
      </c>
      <c r="O45" s="4">
        <v>19970</v>
      </c>
      <c r="P45">
        <v>23564.6</v>
      </c>
      <c r="Q45" s="21">
        <f>Table1[[#This Row],[סכום כולל מע"מ]]-Table1[[#This Row],[סכום לפני מעמ2]]</f>
        <v>3594.5999999999985</v>
      </c>
    </row>
    <row r="46" spans="2:17" hidden="1" x14ac:dyDescent="0.25">
      <c r="B46">
        <v>44</v>
      </c>
      <c r="C46" t="s">
        <v>15</v>
      </c>
      <c r="D46">
        <v>44</v>
      </c>
      <c r="E46" s="13" t="s">
        <v>113</v>
      </c>
      <c r="F46">
        <v>60471</v>
      </c>
      <c r="G46" s="7">
        <v>46022</v>
      </c>
      <c r="H46" s="2" t="s">
        <v>114</v>
      </c>
      <c r="I46" s="2" t="s">
        <v>18</v>
      </c>
      <c r="J46" s="2" t="s">
        <v>59</v>
      </c>
      <c r="L46" s="2" t="s">
        <v>20</v>
      </c>
      <c r="M46" s="14" t="s">
        <v>60</v>
      </c>
      <c r="N46" s="2" t="s">
        <v>22</v>
      </c>
      <c r="O46" s="4">
        <v>19970</v>
      </c>
      <c r="P46">
        <v>23564.6</v>
      </c>
      <c r="Q46" s="21">
        <f>Table1[[#This Row],[סכום כולל מע"מ]]-Table1[[#This Row],[סכום לפני מעמ2]]</f>
        <v>3594.5999999999985</v>
      </c>
    </row>
    <row r="47" spans="2:17" hidden="1" x14ac:dyDescent="0.25">
      <c r="B47">
        <v>45</v>
      </c>
      <c r="C47" t="s">
        <v>15</v>
      </c>
      <c r="D47">
        <v>45</v>
      </c>
      <c r="E47" s="13" t="s">
        <v>115</v>
      </c>
      <c r="F47">
        <v>60471</v>
      </c>
      <c r="G47" s="7">
        <v>46022</v>
      </c>
      <c r="H47" s="2" t="s">
        <v>116</v>
      </c>
      <c r="I47" s="2" t="s">
        <v>18</v>
      </c>
      <c r="J47" s="2" t="s">
        <v>25</v>
      </c>
      <c r="L47" s="2" t="s">
        <v>20</v>
      </c>
      <c r="M47" s="14" t="s">
        <v>26</v>
      </c>
      <c r="N47" s="2" t="s">
        <v>22</v>
      </c>
      <c r="O47" s="4">
        <v>19950</v>
      </c>
      <c r="P47">
        <v>23541</v>
      </c>
      <c r="Q47" s="21">
        <f>Table1[[#This Row],[סכום כולל מע"מ]]-Table1[[#This Row],[סכום לפני מעמ2]]</f>
        <v>3591</v>
      </c>
    </row>
    <row r="48" spans="2:17" hidden="1" x14ac:dyDescent="0.25">
      <c r="B48">
        <v>46</v>
      </c>
      <c r="C48" t="s">
        <v>15</v>
      </c>
      <c r="D48">
        <v>46</v>
      </c>
      <c r="E48" s="13" t="s">
        <v>117</v>
      </c>
      <c r="F48">
        <v>60471</v>
      </c>
      <c r="G48" s="7">
        <v>46022</v>
      </c>
      <c r="H48" s="2" t="s">
        <v>118</v>
      </c>
      <c r="I48" s="2" t="s">
        <v>18</v>
      </c>
      <c r="J48" s="2" t="s">
        <v>25</v>
      </c>
      <c r="L48" s="2" t="s">
        <v>20</v>
      </c>
      <c r="M48" s="14" t="s">
        <v>26</v>
      </c>
      <c r="N48" s="2" t="s">
        <v>22</v>
      </c>
      <c r="O48" s="4">
        <v>19980</v>
      </c>
      <c r="P48">
        <v>23576.400000000001</v>
      </c>
      <c r="Q48" s="21">
        <f>Table1[[#This Row],[סכום כולל מע"מ]]-Table1[[#This Row],[סכום לפני מעמ2]]</f>
        <v>3596.4000000000015</v>
      </c>
    </row>
    <row r="49" spans="2:17" x14ac:dyDescent="0.25">
      <c r="B49">
        <v>47</v>
      </c>
      <c r="C49" t="s">
        <v>15</v>
      </c>
      <c r="D49">
        <v>47</v>
      </c>
      <c r="E49" s="13" t="s">
        <v>119</v>
      </c>
      <c r="F49">
        <v>60471</v>
      </c>
      <c r="G49" s="7">
        <v>46022</v>
      </c>
      <c r="H49" s="2" t="s">
        <v>120</v>
      </c>
      <c r="I49" s="2" t="s">
        <v>18</v>
      </c>
      <c r="J49" s="2" t="s">
        <v>25</v>
      </c>
      <c r="L49" s="2" t="s">
        <v>20</v>
      </c>
      <c r="M49" s="14" t="s">
        <v>26</v>
      </c>
      <c r="N49" s="2" t="s">
        <v>22</v>
      </c>
      <c r="O49" s="4">
        <v>1530</v>
      </c>
      <c r="P49">
        <v>1805.4</v>
      </c>
      <c r="Q49" s="21">
        <f>Table1[[#This Row],[סכום כולל מע"מ]]-Table1[[#This Row],[סכום לפני מעמ2]]</f>
        <v>275.40000000000009</v>
      </c>
    </row>
    <row r="50" spans="2:17" hidden="1" x14ac:dyDescent="0.25">
      <c r="B50">
        <v>48</v>
      </c>
      <c r="C50" t="s">
        <v>15</v>
      </c>
      <c r="D50">
        <v>48</v>
      </c>
      <c r="E50" s="13" t="s">
        <v>121</v>
      </c>
      <c r="F50">
        <v>60471</v>
      </c>
      <c r="G50" s="7">
        <v>46022</v>
      </c>
      <c r="H50" s="2" t="s">
        <v>122</v>
      </c>
      <c r="I50" s="2" t="s">
        <v>18</v>
      </c>
      <c r="J50" s="2" t="s">
        <v>25</v>
      </c>
      <c r="L50" s="2" t="s">
        <v>20</v>
      </c>
      <c r="M50" s="14" t="s">
        <v>26</v>
      </c>
      <c r="N50" s="2" t="s">
        <v>22</v>
      </c>
      <c r="O50" s="4">
        <v>19995</v>
      </c>
      <c r="P50">
        <v>23594.1</v>
      </c>
      <c r="Q50" s="21">
        <f>Table1[[#This Row],[סכום כולל מע"מ]]-Table1[[#This Row],[סכום לפני מעמ2]]</f>
        <v>3599.0999999999985</v>
      </c>
    </row>
    <row r="51" spans="2:17" x14ac:dyDescent="0.25">
      <c r="B51">
        <v>49</v>
      </c>
      <c r="C51" t="s">
        <v>15</v>
      </c>
      <c r="D51">
        <v>49</v>
      </c>
      <c r="E51" s="13" t="s">
        <v>123</v>
      </c>
      <c r="F51">
        <v>60471</v>
      </c>
      <c r="G51" s="7">
        <v>46022</v>
      </c>
      <c r="H51" s="2" t="s">
        <v>124</v>
      </c>
      <c r="I51" s="2" t="s">
        <v>18</v>
      </c>
      <c r="J51" s="2" t="s">
        <v>25</v>
      </c>
      <c r="L51" s="2" t="s">
        <v>20</v>
      </c>
      <c r="M51" s="14" t="s">
        <v>26</v>
      </c>
      <c r="N51" s="2" t="s">
        <v>22</v>
      </c>
      <c r="O51" s="4">
        <v>1530</v>
      </c>
      <c r="P51">
        <v>1805.4</v>
      </c>
      <c r="Q51" s="21">
        <f>Table1[[#This Row],[סכום כולל מע"מ]]-Table1[[#This Row],[סכום לפני מעמ2]]</f>
        <v>275.40000000000009</v>
      </c>
    </row>
    <row r="52" spans="2:17" hidden="1" x14ac:dyDescent="0.25">
      <c r="B52">
        <v>50</v>
      </c>
      <c r="C52" t="s">
        <v>15</v>
      </c>
      <c r="D52">
        <v>50</v>
      </c>
      <c r="E52" s="13" t="s">
        <v>125</v>
      </c>
      <c r="F52">
        <v>60471</v>
      </c>
      <c r="G52" s="7">
        <v>46022</v>
      </c>
      <c r="H52" s="2" t="s">
        <v>126</v>
      </c>
      <c r="I52" s="2" t="s">
        <v>18</v>
      </c>
      <c r="J52" s="2" t="s">
        <v>25</v>
      </c>
      <c r="L52" s="2" t="s">
        <v>20</v>
      </c>
      <c r="M52" s="14" t="s">
        <v>26</v>
      </c>
      <c r="N52" s="2" t="s">
        <v>22</v>
      </c>
      <c r="O52" s="4">
        <v>19950</v>
      </c>
      <c r="P52">
        <v>23541</v>
      </c>
      <c r="Q52" s="21">
        <f>Table1[[#This Row],[סכום כולל מע"מ]]-Table1[[#This Row],[סכום לפני מעמ2]]</f>
        <v>3591</v>
      </c>
    </row>
    <row r="53" spans="2:17" hidden="1" x14ac:dyDescent="0.25">
      <c r="B53">
        <v>51</v>
      </c>
      <c r="C53" t="s">
        <v>15</v>
      </c>
      <c r="D53">
        <v>51</v>
      </c>
      <c r="E53" s="13" t="s">
        <v>127</v>
      </c>
      <c r="F53">
        <v>60471</v>
      </c>
      <c r="G53" s="7">
        <v>46022</v>
      </c>
      <c r="H53" s="2" t="s">
        <v>128</v>
      </c>
      <c r="I53" s="2" t="s">
        <v>18</v>
      </c>
      <c r="J53" s="2" t="s">
        <v>25</v>
      </c>
      <c r="L53" s="2" t="s">
        <v>20</v>
      </c>
      <c r="M53" s="14" t="s">
        <v>26</v>
      </c>
      <c r="N53" s="2" t="s">
        <v>22</v>
      </c>
      <c r="O53" s="4">
        <v>19980</v>
      </c>
      <c r="P53">
        <v>23576.400000000001</v>
      </c>
      <c r="Q53" s="21">
        <f>Table1[[#This Row],[סכום כולל מע"מ]]-Table1[[#This Row],[סכום לפני מעמ2]]</f>
        <v>3596.4000000000015</v>
      </c>
    </row>
    <row r="54" spans="2:17" hidden="1" x14ac:dyDescent="0.25">
      <c r="B54">
        <v>52</v>
      </c>
      <c r="C54" t="s">
        <v>15</v>
      </c>
      <c r="D54">
        <v>52</v>
      </c>
      <c r="E54" s="13" t="s">
        <v>129</v>
      </c>
      <c r="F54">
        <v>60471</v>
      </c>
      <c r="G54" s="7">
        <v>46022</v>
      </c>
      <c r="H54" s="2" t="s">
        <v>130</v>
      </c>
      <c r="I54" s="2" t="s">
        <v>18</v>
      </c>
      <c r="J54" s="2" t="s">
        <v>25</v>
      </c>
      <c r="L54" s="2" t="s">
        <v>20</v>
      </c>
      <c r="M54" s="14" t="s">
        <v>26</v>
      </c>
      <c r="N54" s="2" t="s">
        <v>22</v>
      </c>
      <c r="O54" s="4">
        <v>19833</v>
      </c>
      <c r="P54">
        <v>23402.94</v>
      </c>
      <c r="Q54" s="21">
        <f>Table1[[#This Row],[סכום כולל מע"מ]]-Table1[[#This Row],[סכום לפני מעמ2]]</f>
        <v>3569.9399999999987</v>
      </c>
    </row>
    <row r="55" spans="2:17" hidden="1" x14ac:dyDescent="0.25">
      <c r="B55">
        <v>53</v>
      </c>
      <c r="C55" t="s">
        <v>15</v>
      </c>
      <c r="D55">
        <v>53</v>
      </c>
      <c r="E55" s="13" t="s">
        <v>131</v>
      </c>
      <c r="F55">
        <v>60471</v>
      </c>
      <c r="G55" s="7">
        <v>46022</v>
      </c>
      <c r="H55" s="2" t="s">
        <v>132</v>
      </c>
      <c r="I55" s="2" t="s">
        <v>18</v>
      </c>
      <c r="J55" s="2" t="s">
        <v>25</v>
      </c>
      <c r="L55" s="2" t="s">
        <v>20</v>
      </c>
      <c r="M55" s="14" t="s">
        <v>26</v>
      </c>
      <c r="N55" s="2" t="s">
        <v>22</v>
      </c>
      <c r="O55" s="4">
        <v>19980</v>
      </c>
      <c r="P55">
        <v>23576.400000000001</v>
      </c>
      <c r="Q55" s="21">
        <f>Table1[[#This Row],[סכום כולל מע"מ]]-Table1[[#This Row],[סכום לפני מעמ2]]</f>
        <v>3596.4000000000015</v>
      </c>
    </row>
    <row r="56" spans="2:17" hidden="1" x14ac:dyDescent="0.25">
      <c r="B56">
        <v>54</v>
      </c>
      <c r="C56" t="s">
        <v>15</v>
      </c>
      <c r="D56">
        <v>54</v>
      </c>
      <c r="E56" s="13" t="s">
        <v>133</v>
      </c>
      <c r="F56">
        <v>60471</v>
      </c>
      <c r="G56" s="7">
        <v>46022</v>
      </c>
      <c r="H56" s="2" t="s">
        <v>134</v>
      </c>
      <c r="I56" s="2" t="s">
        <v>18</v>
      </c>
      <c r="J56" s="2" t="s">
        <v>19</v>
      </c>
      <c r="L56" s="2" t="s">
        <v>20</v>
      </c>
      <c r="M56" s="14" t="s">
        <v>21</v>
      </c>
      <c r="N56" s="2" t="s">
        <v>22</v>
      </c>
      <c r="O56" s="4">
        <v>19950</v>
      </c>
      <c r="P56">
        <v>23541</v>
      </c>
      <c r="Q56" s="21">
        <f>Table1[[#This Row],[סכום כולל מע"מ]]-Table1[[#This Row],[סכום לפני מעמ2]]</f>
        <v>3591</v>
      </c>
    </row>
    <row r="57" spans="2:17" hidden="1" x14ac:dyDescent="0.25">
      <c r="B57">
        <v>55</v>
      </c>
      <c r="C57" t="s">
        <v>15</v>
      </c>
      <c r="D57">
        <v>55</v>
      </c>
      <c r="E57" s="13" t="s">
        <v>135</v>
      </c>
      <c r="F57">
        <v>60471</v>
      </c>
      <c r="G57" s="7">
        <v>46022</v>
      </c>
      <c r="H57" s="2" t="s">
        <v>136</v>
      </c>
      <c r="I57" s="2" t="s">
        <v>18</v>
      </c>
      <c r="J57" s="2" t="s">
        <v>59</v>
      </c>
      <c r="L57" s="2" t="s">
        <v>20</v>
      </c>
      <c r="M57" s="14" t="s">
        <v>60</v>
      </c>
      <c r="N57" s="2" t="s">
        <v>22</v>
      </c>
      <c r="O57" s="4">
        <v>19995</v>
      </c>
      <c r="P57">
        <v>23594.1</v>
      </c>
      <c r="Q57" s="21">
        <f>Table1[[#This Row],[סכום כולל מע"מ]]-Table1[[#This Row],[סכום לפני מעמ2]]</f>
        <v>3599.0999999999985</v>
      </c>
    </row>
    <row r="58" spans="2:17" hidden="1" x14ac:dyDescent="0.25">
      <c r="B58">
        <v>56</v>
      </c>
      <c r="C58" t="s">
        <v>15</v>
      </c>
      <c r="D58">
        <v>56</v>
      </c>
      <c r="E58" s="13" t="s">
        <v>137</v>
      </c>
      <c r="F58">
        <v>60471</v>
      </c>
      <c r="G58" s="7">
        <v>46022</v>
      </c>
      <c r="H58" s="2" t="s">
        <v>138</v>
      </c>
      <c r="I58" s="2" t="s">
        <v>18</v>
      </c>
      <c r="J58" s="2" t="s">
        <v>25</v>
      </c>
      <c r="L58" s="2" t="s">
        <v>20</v>
      </c>
      <c r="M58" s="14" t="s">
        <v>26</v>
      </c>
      <c r="N58" s="2" t="s">
        <v>22</v>
      </c>
      <c r="O58" s="4">
        <v>19950</v>
      </c>
      <c r="P58">
        <v>23541</v>
      </c>
      <c r="Q58" s="21">
        <f>Table1[[#This Row],[סכום כולל מע"מ]]-Table1[[#This Row],[סכום לפני מעמ2]]</f>
        <v>3591</v>
      </c>
    </row>
    <row r="59" spans="2:17" x14ac:dyDescent="0.25">
      <c r="B59">
        <v>57</v>
      </c>
      <c r="C59" t="s">
        <v>15</v>
      </c>
      <c r="D59">
        <v>57</v>
      </c>
      <c r="E59" s="13" t="s">
        <v>139</v>
      </c>
      <c r="F59">
        <v>60471</v>
      </c>
      <c r="G59" s="7">
        <v>46022</v>
      </c>
      <c r="H59" s="2" t="s">
        <v>140</v>
      </c>
      <c r="I59" s="2" t="s">
        <v>18</v>
      </c>
      <c r="J59" s="2" t="s">
        <v>25</v>
      </c>
      <c r="L59" s="2" t="s">
        <v>20</v>
      </c>
      <c r="M59" s="14" t="s">
        <v>26</v>
      </c>
      <c r="N59" s="2" t="s">
        <v>22</v>
      </c>
      <c r="O59" s="4">
        <v>1530</v>
      </c>
      <c r="P59">
        <v>1805.4</v>
      </c>
      <c r="Q59" s="21">
        <f>Table1[[#This Row],[סכום כולל מע"מ]]-Table1[[#This Row],[סכום לפני מעמ2]]</f>
        <v>275.40000000000009</v>
      </c>
    </row>
    <row r="60" spans="2:17" hidden="1" x14ac:dyDescent="0.25">
      <c r="B60">
        <v>58</v>
      </c>
      <c r="C60" t="s">
        <v>15</v>
      </c>
      <c r="D60">
        <v>58</v>
      </c>
      <c r="E60" s="13" t="s">
        <v>141</v>
      </c>
      <c r="F60">
        <v>60471</v>
      </c>
      <c r="G60" s="7">
        <v>46022</v>
      </c>
      <c r="H60" s="2" t="s">
        <v>142</v>
      </c>
      <c r="I60" s="2" t="s">
        <v>18</v>
      </c>
      <c r="J60" s="2" t="s">
        <v>19</v>
      </c>
      <c r="L60" s="2" t="s">
        <v>20</v>
      </c>
      <c r="M60" s="14" t="s">
        <v>21</v>
      </c>
      <c r="N60" s="2" t="s">
        <v>22</v>
      </c>
      <c r="O60" s="4">
        <v>19950</v>
      </c>
      <c r="P60">
        <v>23541</v>
      </c>
      <c r="Q60" s="21">
        <f>Table1[[#This Row],[סכום כולל מע"מ]]-Table1[[#This Row],[סכום לפני מעמ2]]</f>
        <v>3591</v>
      </c>
    </row>
    <row r="61" spans="2:17" hidden="1" x14ac:dyDescent="0.25">
      <c r="B61">
        <v>59</v>
      </c>
      <c r="C61" t="s">
        <v>15</v>
      </c>
      <c r="D61">
        <v>59</v>
      </c>
      <c r="E61" s="13" t="s">
        <v>143</v>
      </c>
      <c r="F61">
        <v>60471</v>
      </c>
      <c r="G61" s="7">
        <v>46022</v>
      </c>
      <c r="H61" s="2" t="s">
        <v>144</v>
      </c>
      <c r="I61" s="2" t="s">
        <v>18</v>
      </c>
      <c r="J61" s="2" t="s">
        <v>59</v>
      </c>
      <c r="L61" s="2" t="s">
        <v>20</v>
      </c>
      <c r="M61" s="14" t="s">
        <v>60</v>
      </c>
      <c r="N61" s="2" t="s">
        <v>22</v>
      </c>
      <c r="O61" s="4">
        <v>19970</v>
      </c>
      <c r="P61">
        <v>23564.6</v>
      </c>
      <c r="Q61" s="21">
        <f>Table1[[#This Row],[סכום כולל מע"מ]]-Table1[[#This Row],[סכום לפני מעמ2]]</f>
        <v>3594.5999999999985</v>
      </c>
    </row>
    <row r="62" spans="2:17" hidden="1" x14ac:dyDescent="0.25">
      <c r="B62">
        <v>60</v>
      </c>
      <c r="C62" t="s">
        <v>15</v>
      </c>
      <c r="D62">
        <v>60</v>
      </c>
      <c r="E62" s="13" t="s">
        <v>145</v>
      </c>
      <c r="F62">
        <v>60471</v>
      </c>
      <c r="G62" s="7">
        <v>46022</v>
      </c>
      <c r="H62" s="2" t="s">
        <v>146</v>
      </c>
      <c r="I62" s="2" t="s">
        <v>18</v>
      </c>
      <c r="J62" s="2" t="s">
        <v>25</v>
      </c>
      <c r="L62" s="2" t="s">
        <v>20</v>
      </c>
      <c r="M62" s="14" t="s">
        <v>26</v>
      </c>
      <c r="N62" s="2" t="s">
        <v>22</v>
      </c>
      <c r="O62" s="4">
        <v>19950</v>
      </c>
      <c r="P62">
        <v>23541</v>
      </c>
      <c r="Q62" s="21">
        <f>Table1[[#This Row],[סכום כולל מע"מ]]-Table1[[#This Row],[סכום לפני מעמ2]]</f>
        <v>3591</v>
      </c>
    </row>
    <row r="63" spans="2:17" hidden="1" x14ac:dyDescent="0.25">
      <c r="B63">
        <v>61</v>
      </c>
      <c r="C63" t="s">
        <v>15</v>
      </c>
      <c r="D63">
        <v>61</v>
      </c>
      <c r="E63" s="13" t="s">
        <v>147</v>
      </c>
      <c r="F63">
        <v>60471</v>
      </c>
      <c r="G63" s="7">
        <v>46022</v>
      </c>
      <c r="H63" s="2" t="s">
        <v>148</v>
      </c>
      <c r="I63" s="2" t="s">
        <v>18</v>
      </c>
      <c r="J63" s="2" t="s">
        <v>19</v>
      </c>
      <c r="L63" s="2" t="s">
        <v>20</v>
      </c>
      <c r="M63" s="14" t="s">
        <v>21</v>
      </c>
      <c r="N63" s="2" t="s">
        <v>22</v>
      </c>
      <c r="O63" s="4">
        <v>19950</v>
      </c>
      <c r="P63">
        <v>23541</v>
      </c>
      <c r="Q63" s="21">
        <f>Table1[[#This Row],[סכום כולל מע"מ]]-Table1[[#This Row],[סכום לפני מעמ2]]</f>
        <v>3591</v>
      </c>
    </row>
    <row r="64" spans="2:17" hidden="1" x14ac:dyDescent="0.25">
      <c r="B64">
        <v>62</v>
      </c>
      <c r="C64" t="s">
        <v>15</v>
      </c>
      <c r="D64">
        <v>62</v>
      </c>
      <c r="E64" s="13" t="s">
        <v>149</v>
      </c>
      <c r="F64">
        <v>60471</v>
      </c>
      <c r="G64" s="7">
        <v>46022</v>
      </c>
      <c r="H64" s="2" t="s">
        <v>150</v>
      </c>
      <c r="I64" s="2" t="s">
        <v>18</v>
      </c>
      <c r="J64" s="2" t="s">
        <v>25</v>
      </c>
      <c r="L64" s="2" t="s">
        <v>20</v>
      </c>
      <c r="M64" s="14" t="s">
        <v>26</v>
      </c>
      <c r="N64" s="2" t="s">
        <v>22</v>
      </c>
      <c r="O64" s="4">
        <v>19950</v>
      </c>
      <c r="P64">
        <v>23541</v>
      </c>
      <c r="Q64" s="21">
        <f>Table1[[#This Row],[סכום כולל מע"מ]]-Table1[[#This Row],[סכום לפני מעמ2]]</f>
        <v>3591</v>
      </c>
    </row>
    <row r="65" spans="2:17" x14ac:dyDescent="0.25">
      <c r="B65">
        <v>63</v>
      </c>
      <c r="C65" t="s">
        <v>15</v>
      </c>
      <c r="D65">
        <v>63</v>
      </c>
      <c r="E65" s="13" t="s">
        <v>151</v>
      </c>
      <c r="F65">
        <v>60471</v>
      </c>
      <c r="G65" s="7">
        <v>46022</v>
      </c>
      <c r="H65" s="2" t="s">
        <v>152</v>
      </c>
      <c r="I65" s="2" t="s">
        <v>18</v>
      </c>
      <c r="J65" s="2" t="s">
        <v>19</v>
      </c>
      <c r="L65" s="2" t="s">
        <v>20</v>
      </c>
      <c r="M65" s="14" t="s">
        <v>21</v>
      </c>
      <c r="N65" s="2" t="s">
        <v>22</v>
      </c>
      <c r="O65" s="4">
        <v>12711.86</v>
      </c>
      <c r="P65">
        <v>14999.99</v>
      </c>
      <c r="Q65" s="21">
        <f>Table1[[#This Row],[סכום כולל מע"מ]]-Table1[[#This Row],[סכום לפני מעמ2]]</f>
        <v>2288.1299999999992</v>
      </c>
    </row>
    <row r="66" spans="2:17" hidden="1" x14ac:dyDescent="0.25">
      <c r="B66">
        <v>64</v>
      </c>
      <c r="C66" t="s">
        <v>15</v>
      </c>
      <c r="D66">
        <v>64</v>
      </c>
      <c r="E66" s="13" t="s">
        <v>153</v>
      </c>
      <c r="F66">
        <v>60471</v>
      </c>
      <c r="G66" s="7">
        <v>46022</v>
      </c>
      <c r="H66" s="2" t="s">
        <v>154</v>
      </c>
      <c r="I66" s="2" t="s">
        <v>18</v>
      </c>
      <c r="J66" s="2" t="s">
        <v>25</v>
      </c>
      <c r="L66" s="2" t="s">
        <v>20</v>
      </c>
      <c r="M66" s="14" t="s">
        <v>26</v>
      </c>
      <c r="N66" s="2" t="s">
        <v>22</v>
      </c>
      <c r="O66" s="4">
        <v>19950</v>
      </c>
      <c r="P66">
        <v>23541</v>
      </c>
      <c r="Q66" s="21">
        <f>Table1[[#This Row],[סכום כולל מע"מ]]-Table1[[#This Row],[סכום לפני מעמ2]]</f>
        <v>3591</v>
      </c>
    </row>
    <row r="67" spans="2:17" hidden="1" x14ac:dyDescent="0.25">
      <c r="B67">
        <v>65</v>
      </c>
      <c r="C67" t="s">
        <v>15</v>
      </c>
      <c r="D67">
        <v>65</v>
      </c>
      <c r="E67" s="13" t="s">
        <v>155</v>
      </c>
      <c r="F67">
        <v>60471</v>
      </c>
      <c r="G67" s="7">
        <v>46022</v>
      </c>
      <c r="H67" s="2" t="s">
        <v>156</v>
      </c>
      <c r="I67" s="2" t="s">
        <v>18</v>
      </c>
      <c r="J67" s="2" t="s">
        <v>25</v>
      </c>
      <c r="L67" s="2" t="s">
        <v>20</v>
      </c>
      <c r="M67" s="14" t="s">
        <v>26</v>
      </c>
      <c r="N67" s="2" t="s">
        <v>22</v>
      </c>
      <c r="O67" s="4">
        <v>19950</v>
      </c>
      <c r="P67">
        <v>23541</v>
      </c>
      <c r="Q67" s="21">
        <f>Table1[[#This Row],[סכום כולל מע"מ]]-Table1[[#This Row],[סכום לפני מעמ2]]</f>
        <v>3591</v>
      </c>
    </row>
    <row r="68" spans="2:17" hidden="1" x14ac:dyDescent="0.25">
      <c r="B68">
        <v>66</v>
      </c>
      <c r="C68" t="s">
        <v>15</v>
      </c>
      <c r="D68">
        <v>66</v>
      </c>
      <c r="E68" s="13" t="s">
        <v>157</v>
      </c>
      <c r="F68">
        <v>60471</v>
      </c>
      <c r="G68" s="7">
        <v>46022</v>
      </c>
      <c r="H68" s="2" t="s">
        <v>158</v>
      </c>
      <c r="I68" s="2" t="s">
        <v>18</v>
      </c>
      <c r="J68" s="2" t="s">
        <v>25</v>
      </c>
      <c r="L68" s="2" t="s">
        <v>20</v>
      </c>
      <c r="M68" s="14" t="s">
        <v>26</v>
      </c>
      <c r="N68" s="2" t="s">
        <v>22</v>
      </c>
      <c r="O68" s="4">
        <v>19950</v>
      </c>
      <c r="P68">
        <v>23541</v>
      </c>
      <c r="Q68" s="21">
        <f>Table1[[#This Row],[סכום כולל מע"מ]]-Table1[[#This Row],[סכום לפני מעמ2]]</f>
        <v>3591</v>
      </c>
    </row>
    <row r="69" spans="2:17" hidden="1" x14ac:dyDescent="0.25">
      <c r="B69">
        <v>67</v>
      </c>
      <c r="C69" t="s">
        <v>15</v>
      </c>
      <c r="D69">
        <v>67</v>
      </c>
      <c r="E69" s="13" t="s">
        <v>159</v>
      </c>
      <c r="F69">
        <v>60471</v>
      </c>
      <c r="G69" s="7">
        <v>46022</v>
      </c>
      <c r="H69" s="2" t="s">
        <v>160</v>
      </c>
      <c r="I69" s="2" t="s">
        <v>18</v>
      </c>
      <c r="J69" s="2" t="s">
        <v>59</v>
      </c>
      <c r="L69" s="2" t="s">
        <v>20</v>
      </c>
      <c r="M69" s="14" t="s">
        <v>60</v>
      </c>
      <c r="N69" s="2" t="s">
        <v>22</v>
      </c>
      <c r="O69" s="4">
        <v>19995</v>
      </c>
      <c r="P69">
        <v>23594.1</v>
      </c>
      <c r="Q69" s="21">
        <f>Table1[[#This Row],[סכום כולל מע"מ]]-Table1[[#This Row],[סכום לפני מעמ2]]</f>
        <v>3599.0999999999985</v>
      </c>
    </row>
    <row r="70" spans="2:17" hidden="1" x14ac:dyDescent="0.25">
      <c r="B70">
        <v>68</v>
      </c>
      <c r="C70" t="s">
        <v>15</v>
      </c>
      <c r="D70">
        <v>68</v>
      </c>
      <c r="E70" s="13" t="s">
        <v>161</v>
      </c>
      <c r="F70">
        <v>60471</v>
      </c>
      <c r="G70" s="7">
        <v>46022</v>
      </c>
      <c r="H70" s="2" t="s">
        <v>162</v>
      </c>
      <c r="I70" s="2" t="s">
        <v>18</v>
      </c>
      <c r="J70" s="2" t="s">
        <v>19</v>
      </c>
      <c r="L70" s="2" t="s">
        <v>20</v>
      </c>
      <c r="M70" s="14" t="s">
        <v>21</v>
      </c>
      <c r="N70" s="2" t="s">
        <v>22</v>
      </c>
      <c r="O70" s="4">
        <v>19950</v>
      </c>
      <c r="P70">
        <v>23541</v>
      </c>
      <c r="Q70" s="21">
        <f>Table1[[#This Row],[סכום כולל מע"מ]]-Table1[[#This Row],[סכום לפני מעמ2]]</f>
        <v>3591</v>
      </c>
    </row>
    <row r="71" spans="2:17" hidden="1" x14ac:dyDescent="0.25">
      <c r="B71">
        <v>69</v>
      </c>
      <c r="C71" t="s">
        <v>15</v>
      </c>
      <c r="D71">
        <v>69</v>
      </c>
      <c r="E71" s="13" t="s">
        <v>163</v>
      </c>
      <c r="F71">
        <v>60471</v>
      </c>
      <c r="G71" s="7">
        <v>46022</v>
      </c>
      <c r="H71" s="2" t="s">
        <v>164</v>
      </c>
      <c r="I71" s="2" t="s">
        <v>18</v>
      </c>
      <c r="J71" s="2" t="s">
        <v>19</v>
      </c>
      <c r="L71" s="2" t="s">
        <v>20</v>
      </c>
      <c r="M71" s="14" t="s">
        <v>21</v>
      </c>
      <c r="N71" s="2" t="s">
        <v>22</v>
      </c>
      <c r="O71" s="4">
        <v>19995</v>
      </c>
      <c r="P71">
        <v>23594.1</v>
      </c>
      <c r="Q71" s="21">
        <f>Table1[[#This Row],[סכום כולל מע"מ]]-Table1[[#This Row],[סכום לפני מעמ2]]</f>
        <v>3599.0999999999985</v>
      </c>
    </row>
    <row r="72" spans="2:17" hidden="1" x14ac:dyDescent="0.25">
      <c r="B72">
        <v>70</v>
      </c>
      <c r="C72" t="s">
        <v>15</v>
      </c>
      <c r="D72">
        <v>70</v>
      </c>
      <c r="E72" s="13" t="s">
        <v>165</v>
      </c>
      <c r="F72">
        <v>60471</v>
      </c>
      <c r="G72" s="7">
        <v>46022</v>
      </c>
      <c r="H72" s="2" t="s">
        <v>166</v>
      </c>
      <c r="I72" s="2" t="s">
        <v>18</v>
      </c>
      <c r="J72" s="2" t="s">
        <v>33</v>
      </c>
      <c r="L72" s="2" t="s">
        <v>20</v>
      </c>
      <c r="M72" s="14" t="s">
        <v>34</v>
      </c>
      <c r="N72" s="2" t="s">
        <v>22</v>
      </c>
      <c r="O72" s="4">
        <v>19995</v>
      </c>
      <c r="P72">
        <v>23594.1</v>
      </c>
      <c r="Q72" s="21">
        <f>Table1[[#This Row],[סכום כולל מע"מ]]-Table1[[#This Row],[סכום לפני מעמ2]]</f>
        <v>3599.0999999999985</v>
      </c>
    </row>
    <row r="73" spans="2:17" hidden="1" x14ac:dyDescent="0.25">
      <c r="B73">
        <v>71</v>
      </c>
      <c r="C73" t="s">
        <v>15</v>
      </c>
      <c r="D73">
        <v>71</v>
      </c>
      <c r="E73" s="13" t="s">
        <v>167</v>
      </c>
      <c r="F73">
        <v>60471</v>
      </c>
      <c r="G73" s="7">
        <v>46022</v>
      </c>
      <c r="H73" s="2" t="s">
        <v>168</v>
      </c>
      <c r="I73" s="2" t="s">
        <v>18</v>
      </c>
      <c r="J73" s="2" t="s">
        <v>25</v>
      </c>
      <c r="L73" s="2" t="s">
        <v>20</v>
      </c>
      <c r="M73" s="14" t="s">
        <v>26</v>
      </c>
      <c r="N73" s="2" t="s">
        <v>22</v>
      </c>
      <c r="O73" s="4">
        <v>19980</v>
      </c>
      <c r="P73">
        <v>23576.400000000001</v>
      </c>
      <c r="Q73" s="21">
        <f>Table1[[#This Row],[סכום כולל מע"מ]]-Table1[[#This Row],[סכום לפני מעמ2]]</f>
        <v>3596.4000000000015</v>
      </c>
    </row>
    <row r="74" spans="2:17" x14ac:dyDescent="0.25">
      <c r="B74">
        <v>72</v>
      </c>
      <c r="C74" t="s">
        <v>15</v>
      </c>
      <c r="D74">
        <v>72</v>
      </c>
      <c r="E74" s="13" t="s">
        <v>169</v>
      </c>
      <c r="F74">
        <v>60471</v>
      </c>
      <c r="G74" s="7">
        <v>46022</v>
      </c>
      <c r="H74" s="2" t="s">
        <v>170</v>
      </c>
      <c r="I74" s="2" t="s">
        <v>18</v>
      </c>
      <c r="J74" s="2" t="s">
        <v>25</v>
      </c>
      <c r="L74" s="2" t="s">
        <v>20</v>
      </c>
      <c r="M74" s="14" t="s">
        <v>26</v>
      </c>
      <c r="N74" s="2" t="s">
        <v>22</v>
      </c>
      <c r="O74" s="4">
        <v>1530</v>
      </c>
      <c r="P74">
        <v>1805.4</v>
      </c>
      <c r="Q74" s="21">
        <f>Table1[[#This Row],[סכום כולל מע"מ]]-Table1[[#This Row],[סכום לפני מעמ2]]</f>
        <v>275.40000000000009</v>
      </c>
    </row>
    <row r="75" spans="2:17" hidden="1" x14ac:dyDescent="0.25">
      <c r="B75">
        <v>73</v>
      </c>
      <c r="C75" t="s">
        <v>15</v>
      </c>
      <c r="D75">
        <v>73</v>
      </c>
      <c r="E75" s="13" t="s">
        <v>171</v>
      </c>
      <c r="F75">
        <v>60471</v>
      </c>
      <c r="G75" s="7">
        <v>46022</v>
      </c>
      <c r="H75" s="2" t="s">
        <v>172</v>
      </c>
      <c r="I75" s="2" t="s">
        <v>18</v>
      </c>
      <c r="J75" s="2" t="s">
        <v>25</v>
      </c>
      <c r="L75" s="2" t="s">
        <v>20</v>
      </c>
      <c r="M75" s="14" t="s">
        <v>26</v>
      </c>
      <c r="N75" s="2" t="s">
        <v>22</v>
      </c>
      <c r="O75" s="4">
        <v>19950</v>
      </c>
      <c r="P75">
        <v>23541</v>
      </c>
      <c r="Q75" s="21">
        <f>Table1[[#This Row],[סכום כולל מע"מ]]-Table1[[#This Row],[סכום לפני מעמ2]]</f>
        <v>3591</v>
      </c>
    </row>
    <row r="76" spans="2:17" hidden="1" x14ac:dyDescent="0.25">
      <c r="B76">
        <v>74</v>
      </c>
      <c r="C76" t="s">
        <v>15</v>
      </c>
      <c r="D76">
        <v>74</v>
      </c>
      <c r="E76" s="13" t="s">
        <v>173</v>
      </c>
      <c r="F76">
        <v>60471</v>
      </c>
      <c r="G76" s="7">
        <v>46022</v>
      </c>
      <c r="H76" s="2" t="s">
        <v>174</v>
      </c>
      <c r="I76" s="2" t="s">
        <v>18</v>
      </c>
      <c r="J76" s="2" t="s">
        <v>25</v>
      </c>
      <c r="L76" s="2" t="s">
        <v>20</v>
      </c>
      <c r="M76" s="14" t="s">
        <v>26</v>
      </c>
      <c r="N76" s="2" t="s">
        <v>22</v>
      </c>
      <c r="O76" s="4">
        <v>19877</v>
      </c>
      <c r="P76">
        <v>23454.86</v>
      </c>
      <c r="Q76" s="21">
        <f>Table1[[#This Row],[סכום כולל מע"מ]]-Table1[[#This Row],[סכום לפני מעמ2]]</f>
        <v>3577.8600000000006</v>
      </c>
    </row>
    <row r="77" spans="2:17" hidden="1" x14ac:dyDescent="0.25">
      <c r="B77">
        <v>75</v>
      </c>
      <c r="C77" t="s">
        <v>15</v>
      </c>
      <c r="D77">
        <v>75</v>
      </c>
      <c r="E77" s="13" t="s">
        <v>175</v>
      </c>
      <c r="F77">
        <v>60471</v>
      </c>
      <c r="G77" s="7">
        <v>46022</v>
      </c>
      <c r="H77" s="2" t="s">
        <v>176</v>
      </c>
      <c r="I77" s="2" t="s">
        <v>18</v>
      </c>
      <c r="J77" s="2" t="s">
        <v>33</v>
      </c>
      <c r="L77" s="2" t="s">
        <v>20</v>
      </c>
      <c r="M77" s="14" t="s">
        <v>34</v>
      </c>
      <c r="N77" s="2" t="s">
        <v>22</v>
      </c>
      <c r="O77" s="4">
        <v>19995</v>
      </c>
      <c r="P77">
        <v>23594.1</v>
      </c>
      <c r="Q77" s="21">
        <f>Table1[[#This Row],[סכום כולל מע"מ]]-Table1[[#This Row],[סכום לפני מעמ2]]</f>
        <v>3599.0999999999985</v>
      </c>
    </row>
    <row r="78" spans="2:17" hidden="1" x14ac:dyDescent="0.25">
      <c r="B78">
        <v>76</v>
      </c>
      <c r="C78" t="s">
        <v>15</v>
      </c>
      <c r="D78">
        <v>76</v>
      </c>
      <c r="E78" s="13" t="s">
        <v>177</v>
      </c>
      <c r="F78">
        <v>60471</v>
      </c>
      <c r="G78" s="7">
        <v>46022</v>
      </c>
      <c r="H78" s="2" t="s">
        <v>178</v>
      </c>
      <c r="I78" s="2" t="s">
        <v>18</v>
      </c>
      <c r="J78" s="2" t="s">
        <v>25</v>
      </c>
      <c r="L78" s="2" t="s">
        <v>20</v>
      </c>
      <c r="M78" s="14" t="s">
        <v>26</v>
      </c>
      <c r="N78" s="2" t="s">
        <v>22</v>
      </c>
      <c r="O78" s="4">
        <v>19950</v>
      </c>
      <c r="P78">
        <v>23541</v>
      </c>
      <c r="Q78" s="21">
        <f>Table1[[#This Row],[סכום כולל מע"מ]]-Table1[[#This Row],[סכום לפני מעמ2]]</f>
        <v>3591</v>
      </c>
    </row>
    <row r="79" spans="2:17" hidden="1" x14ac:dyDescent="0.25">
      <c r="B79">
        <v>77</v>
      </c>
      <c r="C79" t="s">
        <v>15</v>
      </c>
      <c r="D79">
        <v>77</v>
      </c>
      <c r="E79" s="13" t="s">
        <v>179</v>
      </c>
      <c r="F79">
        <v>60471</v>
      </c>
      <c r="G79" s="7">
        <v>46022</v>
      </c>
      <c r="H79" s="2" t="s">
        <v>180</v>
      </c>
      <c r="I79" s="2" t="s">
        <v>18</v>
      </c>
      <c r="J79" s="2" t="s">
        <v>25</v>
      </c>
      <c r="L79" s="2" t="s">
        <v>20</v>
      </c>
      <c r="M79" s="14" t="s">
        <v>26</v>
      </c>
      <c r="N79" s="2" t="s">
        <v>22</v>
      </c>
      <c r="O79" s="4">
        <v>19950</v>
      </c>
      <c r="P79">
        <v>23541</v>
      </c>
      <c r="Q79" s="21">
        <f>Table1[[#This Row],[סכום כולל מע"מ]]-Table1[[#This Row],[סכום לפני מעמ2]]</f>
        <v>3591</v>
      </c>
    </row>
    <row r="80" spans="2:17" x14ac:dyDescent="0.25">
      <c r="B80">
        <v>78</v>
      </c>
      <c r="C80" t="s">
        <v>15</v>
      </c>
      <c r="D80">
        <v>78</v>
      </c>
      <c r="E80" s="13" t="s">
        <v>181</v>
      </c>
      <c r="F80">
        <v>60471</v>
      </c>
      <c r="G80" s="7">
        <v>46022</v>
      </c>
      <c r="H80" s="2" t="s">
        <v>182</v>
      </c>
      <c r="I80" s="2" t="s">
        <v>18</v>
      </c>
      <c r="J80" s="2" t="s">
        <v>25</v>
      </c>
      <c r="L80" s="2" t="s">
        <v>20</v>
      </c>
      <c r="M80" s="14" t="s">
        <v>26</v>
      </c>
      <c r="N80" s="2" t="s">
        <v>22</v>
      </c>
      <c r="O80" s="4">
        <v>1530</v>
      </c>
      <c r="P80">
        <v>1805.4</v>
      </c>
      <c r="Q80" s="21">
        <f>Table1[[#This Row],[סכום כולל מע"מ]]-Table1[[#This Row],[סכום לפני מעמ2]]</f>
        <v>275.40000000000009</v>
      </c>
    </row>
    <row r="81" spans="2:17" hidden="1" x14ac:dyDescent="0.25">
      <c r="B81">
        <v>79</v>
      </c>
      <c r="C81" t="s">
        <v>15</v>
      </c>
      <c r="D81">
        <v>79</v>
      </c>
      <c r="E81" s="13" t="s">
        <v>183</v>
      </c>
      <c r="F81">
        <v>60471</v>
      </c>
      <c r="G81" s="7">
        <v>46022</v>
      </c>
      <c r="H81" s="2" t="s">
        <v>184</v>
      </c>
      <c r="I81" s="2" t="s">
        <v>18</v>
      </c>
      <c r="J81" s="2" t="s">
        <v>59</v>
      </c>
      <c r="L81" s="2" t="s">
        <v>20</v>
      </c>
      <c r="M81" s="14" t="s">
        <v>60</v>
      </c>
      <c r="N81" s="2" t="s">
        <v>22</v>
      </c>
      <c r="O81" s="4">
        <v>19995</v>
      </c>
      <c r="P81">
        <v>23594.1</v>
      </c>
      <c r="Q81" s="21">
        <f>Table1[[#This Row],[סכום כולל מע"מ]]-Table1[[#This Row],[סכום לפני מעמ2]]</f>
        <v>3599.0999999999985</v>
      </c>
    </row>
    <row r="82" spans="2:17" hidden="1" x14ac:dyDescent="0.25">
      <c r="B82">
        <v>80</v>
      </c>
      <c r="C82" t="s">
        <v>15</v>
      </c>
      <c r="D82">
        <v>80</v>
      </c>
      <c r="E82" s="13" t="s">
        <v>185</v>
      </c>
      <c r="F82">
        <v>60471</v>
      </c>
      <c r="G82" s="7">
        <v>46022</v>
      </c>
      <c r="H82" s="2" t="s">
        <v>186</v>
      </c>
      <c r="I82" s="2" t="s">
        <v>18</v>
      </c>
      <c r="J82" s="2" t="s">
        <v>25</v>
      </c>
      <c r="L82" s="2" t="s">
        <v>20</v>
      </c>
      <c r="M82" s="14" t="s">
        <v>26</v>
      </c>
      <c r="N82" s="2" t="s">
        <v>22</v>
      </c>
      <c r="O82" s="4">
        <v>19950</v>
      </c>
      <c r="P82">
        <v>23541</v>
      </c>
      <c r="Q82" s="21">
        <f>Table1[[#This Row],[סכום כולל מע"מ]]-Table1[[#This Row],[סכום לפני מעמ2]]</f>
        <v>3591</v>
      </c>
    </row>
    <row r="83" spans="2:17" hidden="1" x14ac:dyDescent="0.25">
      <c r="B83">
        <v>81</v>
      </c>
      <c r="C83" t="s">
        <v>15</v>
      </c>
      <c r="D83">
        <v>81</v>
      </c>
      <c r="E83" s="13" t="s">
        <v>187</v>
      </c>
      <c r="F83">
        <v>60471</v>
      </c>
      <c r="G83" s="7">
        <v>46022</v>
      </c>
      <c r="H83" s="2" t="s">
        <v>188</v>
      </c>
      <c r="I83" s="2" t="s">
        <v>18</v>
      </c>
      <c r="J83" s="2" t="s">
        <v>19</v>
      </c>
      <c r="L83" s="2" t="s">
        <v>20</v>
      </c>
      <c r="M83" s="14" t="s">
        <v>21</v>
      </c>
      <c r="N83" s="2" t="s">
        <v>22</v>
      </c>
      <c r="O83" s="4">
        <v>19995</v>
      </c>
      <c r="P83">
        <v>23594.1</v>
      </c>
      <c r="Q83" s="21">
        <f>Table1[[#This Row],[סכום כולל מע"מ]]-Table1[[#This Row],[סכום לפני מעמ2]]</f>
        <v>3599.0999999999985</v>
      </c>
    </row>
    <row r="84" spans="2:17" hidden="1" x14ac:dyDescent="0.25">
      <c r="B84">
        <v>82</v>
      </c>
      <c r="C84" t="s">
        <v>15</v>
      </c>
      <c r="D84">
        <v>82</v>
      </c>
      <c r="E84" s="13" t="s">
        <v>189</v>
      </c>
      <c r="F84">
        <v>60471</v>
      </c>
      <c r="G84" s="7">
        <v>46022</v>
      </c>
      <c r="H84" s="2" t="s">
        <v>190</v>
      </c>
      <c r="I84" s="2" t="s">
        <v>18</v>
      </c>
      <c r="J84" s="2" t="s">
        <v>25</v>
      </c>
      <c r="L84" s="2" t="s">
        <v>20</v>
      </c>
      <c r="M84" s="14" t="s">
        <v>26</v>
      </c>
      <c r="N84" s="2" t="s">
        <v>22</v>
      </c>
      <c r="O84" s="4">
        <v>19950</v>
      </c>
      <c r="P84">
        <v>23541</v>
      </c>
      <c r="Q84" s="21">
        <f>Table1[[#This Row],[סכום כולל מע"מ]]-Table1[[#This Row],[סכום לפני מעמ2]]</f>
        <v>3591</v>
      </c>
    </row>
    <row r="85" spans="2:17" x14ac:dyDescent="0.25">
      <c r="B85">
        <v>83</v>
      </c>
      <c r="C85" t="s">
        <v>15</v>
      </c>
      <c r="D85">
        <v>83</v>
      </c>
      <c r="E85" s="13" t="s">
        <v>191</v>
      </c>
      <c r="F85">
        <v>60471</v>
      </c>
      <c r="G85" s="7">
        <v>46022</v>
      </c>
      <c r="H85" s="2" t="s">
        <v>192</v>
      </c>
      <c r="I85" s="2" t="s">
        <v>18</v>
      </c>
      <c r="J85" s="2" t="s">
        <v>25</v>
      </c>
      <c r="L85" s="2" t="s">
        <v>20</v>
      </c>
      <c r="M85" s="14" t="s">
        <v>26</v>
      </c>
      <c r="N85" s="2" t="s">
        <v>22</v>
      </c>
      <c r="O85" s="4">
        <v>1530</v>
      </c>
      <c r="P85">
        <v>1805.4</v>
      </c>
      <c r="Q85" s="21">
        <f>Table1[[#This Row],[סכום כולל מע"מ]]-Table1[[#This Row],[סכום לפני מעמ2]]</f>
        <v>275.40000000000009</v>
      </c>
    </row>
    <row r="86" spans="2:17" hidden="1" x14ac:dyDescent="0.25">
      <c r="B86">
        <v>84</v>
      </c>
      <c r="C86" t="s">
        <v>15</v>
      </c>
      <c r="D86">
        <v>84</v>
      </c>
      <c r="E86" s="13" t="s">
        <v>193</v>
      </c>
      <c r="F86">
        <v>60471</v>
      </c>
      <c r="G86" s="7">
        <v>46022</v>
      </c>
      <c r="H86" s="2" t="s">
        <v>194</v>
      </c>
      <c r="I86" s="2" t="s">
        <v>18</v>
      </c>
      <c r="J86" s="2" t="s">
        <v>25</v>
      </c>
      <c r="L86" s="2" t="s">
        <v>20</v>
      </c>
      <c r="M86" s="14" t="s">
        <v>26</v>
      </c>
      <c r="N86" s="2" t="s">
        <v>22</v>
      </c>
      <c r="O86" s="4">
        <v>19980</v>
      </c>
      <c r="P86">
        <v>23576.400000000001</v>
      </c>
      <c r="Q86" s="21">
        <f>Table1[[#This Row],[סכום כולל מע"מ]]-Table1[[#This Row],[סכום לפני מעמ2]]</f>
        <v>3596.4000000000015</v>
      </c>
    </row>
    <row r="87" spans="2:17" hidden="1" x14ac:dyDescent="0.25">
      <c r="B87">
        <v>85</v>
      </c>
      <c r="C87" t="s">
        <v>15</v>
      </c>
      <c r="D87">
        <v>85</v>
      </c>
      <c r="E87" s="13" t="s">
        <v>195</v>
      </c>
      <c r="F87">
        <v>60471</v>
      </c>
      <c r="G87" s="7">
        <v>46022</v>
      </c>
      <c r="H87" s="2" t="s">
        <v>196</v>
      </c>
      <c r="I87" s="2" t="s">
        <v>18</v>
      </c>
      <c r="J87" s="2" t="s">
        <v>25</v>
      </c>
      <c r="L87" s="2" t="s">
        <v>20</v>
      </c>
      <c r="M87" s="14" t="s">
        <v>26</v>
      </c>
      <c r="N87" s="2" t="s">
        <v>22</v>
      </c>
      <c r="O87" s="4">
        <v>19980</v>
      </c>
      <c r="P87">
        <v>23576.400000000001</v>
      </c>
      <c r="Q87" s="21">
        <f>Table1[[#This Row],[סכום כולל מע"מ]]-Table1[[#This Row],[סכום לפני מעמ2]]</f>
        <v>3596.4000000000015</v>
      </c>
    </row>
    <row r="88" spans="2:17" hidden="1" x14ac:dyDescent="0.25">
      <c r="B88">
        <v>86</v>
      </c>
      <c r="C88" t="s">
        <v>15</v>
      </c>
      <c r="D88">
        <v>86</v>
      </c>
      <c r="E88" s="13" t="s">
        <v>197</v>
      </c>
      <c r="F88">
        <v>60471</v>
      </c>
      <c r="G88" s="7">
        <v>46022</v>
      </c>
      <c r="H88" s="2" t="s">
        <v>198</v>
      </c>
      <c r="I88" s="2" t="s">
        <v>18</v>
      </c>
      <c r="J88" s="2" t="s">
        <v>19</v>
      </c>
      <c r="L88" s="2" t="s">
        <v>20</v>
      </c>
      <c r="M88" s="14" t="s">
        <v>21</v>
      </c>
      <c r="N88" s="2" t="s">
        <v>22</v>
      </c>
      <c r="O88" s="4">
        <v>19995</v>
      </c>
      <c r="P88">
        <v>23594.1</v>
      </c>
      <c r="Q88" s="21">
        <f>Table1[[#This Row],[סכום כולל מע"מ]]-Table1[[#This Row],[סכום לפני מעמ2]]</f>
        <v>3599.0999999999985</v>
      </c>
    </row>
    <row r="89" spans="2:17" hidden="1" x14ac:dyDescent="0.25">
      <c r="B89">
        <v>87</v>
      </c>
      <c r="C89" t="s">
        <v>15</v>
      </c>
      <c r="D89">
        <v>87</v>
      </c>
      <c r="E89" s="13" t="s">
        <v>199</v>
      </c>
      <c r="F89">
        <v>60471</v>
      </c>
      <c r="G89" s="7">
        <v>46022</v>
      </c>
      <c r="H89" s="2" t="s">
        <v>200</v>
      </c>
      <c r="I89" s="2" t="s">
        <v>18</v>
      </c>
      <c r="J89" s="2" t="s">
        <v>25</v>
      </c>
      <c r="L89" s="2" t="s">
        <v>20</v>
      </c>
      <c r="M89" s="14" t="s">
        <v>26</v>
      </c>
      <c r="N89" s="2" t="s">
        <v>22</v>
      </c>
      <c r="O89" s="4">
        <v>19950</v>
      </c>
      <c r="P89">
        <v>23541</v>
      </c>
      <c r="Q89" s="21">
        <f>Table1[[#This Row],[סכום כולל מע"מ]]-Table1[[#This Row],[סכום לפני מעמ2]]</f>
        <v>3591</v>
      </c>
    </row>
    <row r="90" spans="2:17" hidden="1" x14ac:dyDescent="0.25">
      <c r="B90">
        <v>88</v>
      </c>
      <c r="C90" t="s">
        <v>15</v>
      </c>
      <c r="D90">
        <v>88</v>
      </c>
      <c r="E90" s="13" t="s">
        <v>201</v>
      </c>
      <c r="F90">
        <v>60471</v>
      </c>
      <c r="G90" s="7">
        <v>46022</v>
      </c>
      <c r="H90" s="2" t="s">
        <v>202</v>
      </c>
      <c r="I90" s="2" t="s">
        <v>18</v>
      </c>
      <c r="J90" s="2" t="s">
        <v>25</v>
      </c>
      <c r="L90" s="2" t="s">
        <v>20</v>
      </c>
      <c r="M90" s="14" t="s">
        <v>26</v>
      </c>
      <c r="N90" s="2" t="s">
        <v>22</v>
      </c>
      <c r="O90" s="4">
        <v>19950</v>
      </c>
      <c r="P90">
        <v>23541</v>
      </c>
      <c r="Q90" s="21">
        <f>Table1[[#This Row],[סכום כולל מע"מ]]-Table1[[#This Row],[סכום לפני מעמ2]]</f>
        <v>3591</v>
      </c>
    </row>
    <row r="91" spans="2:17" hidden="1" x14ac:dyDescent="0.25">
      <c r="B91">
        <v>89</v>
      </c>
      <c r="C91" t="s">
        <v>15</v>
      </c>
      <c r="D91">
        <v>89</v>
      </c>
      <c r="E91" s="13" t="s">
        <v>203</v>
      </c>
      <c r="F91">
        <v>60471</v>
      </c>
      <c r="G91" s="7">
        <v>46022</v>
      </c>
      <c r="H91" s="2" t="s">
        <v>204</v>
      </c>
      <c r="I91" s="2" t="s">
        <v>18</v>
      </c>
      <c r="J91" s="2" t="s">
        <v>25</v>
      </c>
      <c r="L91" s="2" t="s">
        <v>20</v>
      </c>
      <c r="M91" s="14" t="s">
        <v>26</v>
      </c>
      <c r="N91" s="2" t="s">
        <v>22</v>
      </c>
      <c r="O91" s="4">
        <v>19950</v>
      </c>
      <c r="P91">
        <v>23541</v>
      </c>
      <c r="Q91" s="21">
        <f>Table1[[#This Row],[סכום כולל מע"מ]]-Table1[[#This Row],[סכום לפני מעמ2]]</f>
        <v>3591</v>
      </c>
    </row>
    <row r="92" spans="2:17" x14ac:dyDescent="0.25">
      <c r="B92">
        <v>90</v>
      </c>
      <c r="C92" t="s">
        <v>15</v>
      </c>
      <c r="D92">
        <v>90</v>
      </c>
      <c r="E92" s="13" t="s">
        <v>205</v>
      </c>
      <c r="F92">
        <v>60471</v>
      </c>
      <c r="G92" s="7">
        <v>46022</v>
      </c>
      <c r="H92" s="2" t="s">
        <v>206</v>
      </c>
      <c r="I92" s="2" t="s">
        <v>18</v>
      </c>
      <c r="J92" s="2" t="s">
        <v>25</v>
      </c>
      <c r="L92" s="2" t="s">
        <v>20</v>
      </c>
      <c r="M92" s="14" t="s">
        <v>26</v>
      </c>
      <c r="N92" s="2" t="s">
        <v>22</v>
      </c>
      <c r="O92" s="4">
        <v>1530</v>
      </c>
      <c r="P92">
        <v>1805.4</v>
      </c>
      <c r="Q92" s="21">
        <f>Table1[[#This Row],[סכום כולל מע"מ]]-Table1[[#This Row],[סכום לפני מעמ2]]</f>
        <v>275.40000000000009</v>
      </c>
    </row>
    <row r="93" spans="2:17" hidden="1" x14ac:dyDescent="0.25">
      <c r="B93">
        <v>91</v>
      </c>
      <c r="C93" t="s">
        <v>15</v>
      </c>
      <c r="D93">
        <v>91</v>
      </c>
      <c r="E93" s="13" t="s">
        <v>207</v>
      </c>
      <c r="F93">
        <v>60471</v>
      </c>
      <c r="G93" s="7">
        <v>46022</v>
      </c>
      <c r="H93" s="2" t="s">
        <v>208</v>
      </c>
      <c r="I93" s="2" t="s">
        <v>18</v>
      </c>
      <c r="J93" s="2" t="s">
        <v>59</v>
      </c>
      <c r="L93" s="2" t="s">
        <v>20</v>
      </c>
      <c r="M93" s="14" t="s">
        <v>60</v>
      </c>
      <c r="N93" s="2" t="s">
        <v>22</v>
      </c>
      <c r="O93" s="4">
        <v>19995</v>
      </c>
      <c r="P93">
        <v>23594.1</v>
      </c>
      <c r="Q93" s="21">
        <f>Table1[[#This Row],[סכום כולל מע"מ]]-Table1[[#This Row],[סכום לפני מעמ2]]</f>
        <v>3599.0999999999985</v>
      </c>
    </row>
    <row r="94" spans="2:17" hidden="1" x14ac:dyDescent="0.25">
      <c r="B94">
        <v>92</v>
      </c>
      <c r="C94" t="s">
        <v>15</v>
      </c>
      <c r="D94">
        <v>92</v>
      </c>
      <c r="E94" s="13" t="s">
        <v>209</v>
      </c>
      <c r="F94">
        <v>60471</v>
      </c>
      <c r="G94" s="7">
        <v>46022</v>
      </c>
      <c r="H94" s="2" t="s">
        <v>210</v>
      </c>
      <c r="I94" s="2" t="s">
        <v>18</v>
      </c>
      <c r="J94" s="2" t="s">
        <v>59</v>
      </c>
      <c r="L94" s="2" t="s">
        <v>20</v>
      </c>
      <c r="M94" s="14" t="s">
        <v>60</v>
      </c>
      <c r="N94" s="2" t="s">
        <v>22</v>
      </c>
      <c r="O94" s="4">
        <v>19970</v>
      </c>
      <c r="P94">
        <v>23564.6</v>
      </c>
      <c r="Q94" s="21">
        <f>Table1[[#This Row],[סכום כולל מע"מ]]-Table1[[#This Row],[סכום לפני מעמ2]]</f>
        <v>3594.5999999999985</v>
      </c>
    </row>
    <row r="95" spans="2:17" hidden="1" x14ac:dyDescent="0.25">
      <c r="B95">
        <v>93</v>
      </c>
      <c r="C95" t="s">
        <v>15</v>
      </c>
      <c r="D95">
        <v>93</v>
      </c>
      <c r="E95" s="13" t="s">
        <v>211</v>
      </c>
      <c r="F95">
        <v>60471</v>
      </c>
      <c r="G95" s="7">
        <v>46022</v>
      </c>
      <c r="H95" s="2" t="s">
        <v>212</v>
      </c>
      <c r="I95" s="2" t="s">
        <v>18</v>
      </c>
      <c r="J95" s="2" t="s">
        <v>25</v>
      </c>
      <c r="L95" s="2" t="s">
        <v>20</v>
      </c>
      <c r="M95" s="14" t="s">
        <v>26</v>
      </c>
      <c r="N95" s="2" t="s">
        <v>22</v>
      </c>
      <c r="O95" s="4">
        <v>19950</v>
      </c>
      <c r="P95">
        <v>23541</v>
      </c>
      <c r="Q95" s="21">
        <f>Table1[[#This Row],[סכום כולל מע"מ]]-Table1[[#This Row],[סכום לפני מעמ2]]</f>
        <v>3591</v>
      </c>
    </row>
    <row r="96" spans="2:17" hidden="1" x14ac:dyDescent="0.25">
      <c r="B96">
        <v>94</v>
      </c>
      <c r="C96" t="s">
        <v>15</v>
      </c>
      <c r="D96">
        <v>94</v>
      </c>
      <c r="E96" s="13" t="s">
        <v>213</v>
      </c>
      <c r="F96">
        <v>60471</v>
      </c>
      <c r="G96" s="7">
        <v>46022</v>
      </c>
      <c r="H96" s="2" t="s">
        <v>214</v>
      </c>
      <c r="I96" s="2" t="s">
        <v>18</v>
      </c>
      <c r="J96" s="2" t="s">
        <v>25</v>
      </c>
      <c r="L96" s="2" t="s">
        <v>20</v>
      </c>
      <c r="M96" s="14" t="s">
        <v>26</v>
      </c>
      <c r="N96" s="2" t="s">
        <v>22</v>
      </c>
      <c r="O96" s="4">
        <v>19950</v>
      </c>
      <c r="P96">
        <v>23541</v>
      </c>
      <c r="Q96" s="21">
        <f>Table1[[#This Row],[סכום כולל מע"מ]]-Table1[[#This Row],[סכום לפני מעמ2]]</f>
        <v>3591</v>
      </c>
    </row>
    <row r="97" spans="2:17" hidden="1" x14ac:dyDescent="0.25">
      <c r="B97">
        <v>95</v>
      </c>
      <c r="C97" t="s">
        <v>15</v>
      </c>
      <c r="D97">
        <v>95</v>
      </c>
      <c r="E97" s="13" t="s">
        <v>215</v>
      </c>
      <c r="F97">
        <v>60471</v>
      </c>
      <c r="G97" s="7">
        <v>46022</v>
      </c>
      <c r="H97" s="2" t="s">
        <v>216</v>
      </c>
      <c r="I97" s="2" t="s">
        <v>18</v>
      </c>
      <c r="J97" s="2" t="s">
        <v>59</v>
      </c>
      <c r="L97" s="2" t="s">
        <v>20</v>
      </c>
      <c r="M97" s="14" t="s">
        <v>60</v>
      </c>
      <c r="N97" s="2" t="s">
        <v>22</v>
      </c>
      <c r="O97" s="4">
        <v>19995</v>
      </c>
      <c r="P97">
        <v>23594.1</v>
      </c>
      <c r="Q97" s="21">
        <f>Table1[[#This Row],[סכום כולל מע"מ]]-Table1[[#This Row],[סכום לפני מעמ2]]</f>
        <v>3599.0999999999985</v>
      </c>
    </row>
    <row r="98" spans="2:17" x14ac:dyDescent="0.25">
      <c r="B98">
        <v>96</v>
      </c>
      <c r="C98" t="s">
        <v>15</v>
      </c>
      <c r="D98">
        <v>96</v>
      </c>
      <c r="E98" s="13" t="s">
        <v>217</v>
      </c>
      <c r="F98">
        <v>60471</v>
      </c>
      <c r="G98" s="7">
        <v>46022</v>
      </c>
      <c r="H98" s="2" t="s">
        <v>218</v>
      </c>
      <c r="I98" s="2" t="s">
        <v>18</v>
      </c>
      <c r="J98" s="2" t="s">
        <v>25</v>
      </c>
      <c r="L98" s="2" t="s">
        <v>20</v>
      </c>
      <c r="M98" s="14" t="s">
        <v>26</v>
      </c>
      <c r="N98" s="2" t="s">
        <v>22</v>
      </c>
      <c r="O98" s="4">
        <v>1530</v>
      </c>
      <c r="P98">
        <v>1805.4</v>
      </c>
      <c r="Q98" s="21">
        <f>Table1[[#This Row],[סכום כולל מע"מ]]-Table1[[#This Row],[סכום לפני מעמ2]]</f>
        <v>275.40000000000009</v>
      </c>
    </row>
    <row r="99" spans="2:17" hidden="1" x14ac:dyDescent="0.25">
      <c r="B99">
        <v>97</v>
      </c>
      <c r="C99" t="s">
        <v>15</v>
      </c>
      <c r="D99">
        <v>97</v>
      </c>
      <c r="E99" s="13" t="s">
        <v>219</v>
      </c>
      <c r="F99">
        <v>60471</v>
      </c>
      <c r="G99" s="7">
        <v>46022</v>
      </c>
      <c r="H99" s="2" t="s">
        <v>220</v>
      </c>
      <c r="I99" s="2" t="s">
        <v>18</v>
      </c>
      <c r="J99" s="2" t="s">
        <v>25</v>
      </c>
      <c r="L99" s="2" t="s">
        <v>20</v>
      </c>
      <c r="M99" s="14" t="s">
        <v>26</v>
      </c>
      <c r="N99" s="2" t="s">
        <v>22</v>
      </c>
      <c r="O99" s="4">
        <v>19980</v>
      </c>
      <c r="P99">
        <v>23576.400000000001</v>
      </c>
      <c r="Q99" s="21">
        <f>Table1[[#This Row],[סכום כולל מע"מ]]-Table1[[#This Row],[סכום לפני מעמ2]]</f>
        <v>3596.4000000000015</v>
      </c>
    </row>
    <row r="100" spans="2:17" hidden="1" x14ac:dyDescent="0.25">
      <c r="B100">
        <v>98</v>
      </c>
      <c r="C100" t="s">
        <v>15</v>
      </c>
      <c r="D100">
        <v>98</v>
      </c>
      <c r="E100" s="13" t="s">
        <v>221</v>
      </c>
      <c r="F100">
        <v>60471</v>
      </c>
      <c r="G100" s="7">
        <v>46022</v>
      </c>
      <c r="H100" s="2" t="s">
        <v>222</v>
      </c>
      <c r="I100" s="2" t="s">
        <v>18</v>
      </c>
      <c r="J100" s="2" t="s">
        <v>59</v>
      </c>
      <c r="L100" s="2" t="s">
        <v>20</v>
      </c>
      <c r="M100" s="14" t="s">
        <v>60</v>
      </c>
      <c r="N100" s="2" t="s">
        <v>22</v>
      </c>
      <c r="O100" s="4">
        <v>19970</v>
      </c>
      <c r="P100">
        <v>23564.6</v>
      </c>
      <c r="Q100" s="21">
        <f>Table1[[#This Row],[סכום כולל מע"מ]]-Table1[[#This Row],[סכום לפני מעמ2]]</f>
        <v>3594.5999999999985</v>
      </c>
    </row>
    <row r="101" spans="2:17" hidden="1" x14ac:dyDescent="0.25">
      <c r="B101">
        <v>99</v>
      </c>
      <c r="C101" t="s">
        <v>15</v>
      </c>
      <c r="D101">
        <v>99</v>
      </c>
      <c r="E101" s="13" t="s">
        <v>223</v>
      </c>
      <c r="F101">
        <v>60471</v>
      </c>
      <c r="G101" s="7">
        <v>46022</v>
      </c>
      <c r="H101" s="2" t="s">
        <v>224</v>
      </c>
      <c r="I101" s="2" t="s">
        <v>18</v>
      </c>
      <c r="J101" s="2" t="s">
        <v>59</v>
      </c>
      <c r="L101" s="2" t="s">
        <v>20</v>
      </c>
      <c r="M101" s="14" t="s">
        <v>60</v>
      </c>
      <c r="N101" s="2" t="s">
        <v>22</v>
      </c>
      <c r="O101" s="4">
        <v>19970</v>
      </c>
      <c r="P101">
        <v>23564.6</v>
      </c>
      <c r="Q101" s="21">
        <f>Table1[[#This Row],[סכום כולל מע"מ]]-Table1[[#This Row],[סכום לפני מעמ2]]</f>
        <v>3594.5999999999985</v>
      </c>
    </row>
    <row r="102" spans="2:17" x14ac:dyDescent="0.25">
      <c r="B102">
        <v>100</v>
      </c>
      <c r="C102" t="s">
        <v>15</v>
      </c>
      <c r="D102">
        <v>100</v>
      </c>
      <c r="E102" s="13" t="s">
        <v>225</v>
      </c>
      <c r="F102">
        <v>60471</v>
      </c>
      <c r="G102" s="7">
        <v>46022</v>
      </c>
      <c r="H102" s="2" t="s">
        <v>226</v>
      </c>
      <c r="I102" s="2" t="s">
        <v>18</v>
      </c>
      <c r="J102" s="2" t="s">
        <v>25</v>
      </c>
      <c r="L102" s="2" t="s">
        <v>20</v>
      </c>
      <c r="M102" s="14" t="s">
        <v>26</v>
      </c>
      <c r="N102" s="2" t="s">
        <v>22</v>
      </c>
      <c r="O102" s="4">
        <v>1530</v>
      </c>
      <c r="P102">
        <v>1805.4</v>
      </c>
      <c r="Q102" s="21">
        <f>Table1[[#This Row],[סכום כולל מע"מ]]-Table1[[#This Row],[סכום לפני מעמ2]]</f>
        <v>275.40000000000009</v>
      </c>
    </row>
    <row r="103" spans="2:17" hidden="1" x14ac:dyDescent="0.25">
      <c r="B103">
        <v>101</v>
      </c>
      <c r="C103" t="s">
        <v>15</v>
      </c>
      <c r="D103">
        <v>101</v>
      </c>
      <c r="E103" s="13" t="s">
        <v>227</v>
      </c>
      <c r="F103">
        <v>60471</v>
      </c>
      <c r="G103" s="7">
        <v>46022</v>
      </c>
      <c r="H103" s="2" t="s">
        <v>228</v>
      </c>
      <c r="I103" s="2" t="s">
        <v>18</v>
      </c>
      <c r="J103" s="2" t="s">
        <v>25</v>
      </c>
      <c r="L103" s="2" t="s">
        <v>20</v>
      </c>
      <c r="M103" s="14" t="s">
        <v>26</v>
      </c>
      <c r="N103" s="2" t="s">
        <v>22</v>
      </c>
      <c r="O103" s="4">
        <v>19950</v>
      </c>
      <c r="P103">
        <v>23541</v>
      </c>
      <c r="Q103" s="21">
        <f>Table1[[#This Row],[סכום כולל מע"מ]]-Table1[[#This Row],[סכום לפני מעמ2]]</f>
        <v>3591</v>
      </c>
    </row>
    <row r="104" spans="2:17" hidden="1" x14ac:dyDescent="0.25">
      <c r="B104">
        <v>102</v>
      </c>
      <c r="C104" t="s">
        <v>15</v>
      </c>
      <c r="D104">
        <v>102</v>
      </c>
      <c r="E104" s="13" t="s">
        <v>229</v>
      </c>
      <c r="F104">
        <v>60471</v>
      </c>
      <c r="G104" s="7">
        <v>46022</v>
      </c>
      <c r="H104" s="2" t="s">
        <v>230</v>
      </c>
      <c r="I104" s="2" t="s">
        <v>18</v>
      </c>
      <c r="J104" s="2" t="s">
        <v>33</v>
      </c>
      <c r="L104" s="2" t="s">
        <v>20</v>
      </c>
      <c r="M104" s="14" t="s">
        <v>34</v>
      </c>
      <c r="N104" s="2" t="s">
        <v>22</v>
      </c>
      <c r="O104" s="4">
        <v>19995</v>
      </c>
      <c r="P104">
        <v>23594.1</v>
      </c>
      <c r="Q104" s="21">
        <f>Table1[[#This Row],[סכום כולל מע"מ]]-Table1[[#This Row],[סכום לפני מעמ2]]</f>
        <v>3599.0999999999985</v>
      </c>
    </row>
    <row r="105" spans="2:17" hidden="1" x14ac:dyDescent="0.25">
      <c r="B105">
        <v>103</v>
      </c>
      <c r="C105" t="s">
        <v>15</v>
      </c>
      <c r="D105">
        <v>103</v>
      </c>
      <c r="E105" s="13" t="s">
        <v>231</v>
      </c>
      <c r="F105">
        <v>60471</v>
      </c>
      <c r="G105" s="7">
        <v>46022</v>
      </c>
      <c r="H105" s="2" t="s">
        <v>232</v>
      </c>
      <c r="I105" s="2" t="s">
        <v>18</v>
      </c>
      <c r="J105" s="2" t="s">
        <v>25</v>
      </c>
      <c r="L105" s="2" t="s">
        <v>20</v>
      </c>
      <c r="M105" s="14" t="s">
        <v>26</v>
      </c>
      <c r="N105" s="2" t="s">
        <v>22</v>
      </c>
      <c r="O105" s="4">
        <v>19980</v>
      </c>
      <c r="P105">
        <v>23576.400000000001</v>
      </c>
      <c r="Q105" s="21">
        <f>Table1[[#This Row],[סכום כולל מע"מ]]-Table1[[#This Row],[סכום לפני מעמ2]]</f>
        <v>3596.4000000000015</v>
      </c>
    </row>
    <row r="106" spans="2:17" hidden="1" x14ac:dyDescent="0.25">
      <c r="B106">
        <v>104</v>
      </c>
      <c r="C106" t="s">
        <v>15</v>
      </c>
      <c r="D106">
        <v>104</v>
      </c>
      <c r="E106" s="13" t="s">
        <v>233</v>
      </c>
      <c r="F106">
        <v>60471</v>
      </c>
      <c r="G106" s="7">
        <v>46022</v>
      </c>
      <c r="H106" s="2" t="s">
        <v>234</v>
      </c>
      <c r="I106" s="2" t="s">
        <v>18</v>
      </c>
      <c r="J106" s="2" t="s">
        <v>25</v>
      </c>
      <c r="L106" s="2" t="s">
        <v>20</v>
      </c>
      <c r="M106" s="14" t="s">
        <v>26</v>
      </c>
      <c r="N106" s="2" t="s">
        <v>22</v>
      </c>
      <c r="O106" s="4">
        <v>19950</v>
      </c>
      <c r="P106">
        <v>23541</v>
      </c>
      <c r="Q106" s="21">
        <f>Table1[[#This Row],[סכום כולל מע"מ]]-Table1[[#This Row],[סכום לפני מעמ2]]</f>
        <v>3591</v>
      </c>
    </row>
    <row r="107" spans="2:17" hidden="1" x14ac:dyDescent="0.25">
      <c r="B107">
        <v>105</v>
      </c>
      <c r="C107" t="s">
        <v>15</v>
      </c>
      <c r="D107">
        <v>105</v>
      </c>
      <c r="E107" s="13" t="s">
        <v>235</v>
      </c>
      <c r="F107">
        <v>60471</v>
      </c>
      <c r="G107" s="7">
        <v>46022</v>
      </c>
      <c r="H107" s="2" t="s">
        <v>236</v>
      </c>
      <c r="I107" s="2" t="s">
        <v>18</v>
      </c>
      <c r="J107" s="2" t="s">
        <v>25</v>
      </c>
      <c r="L107" s="2" t="s">
        <v>20</v>
      </c>
      <c r="M107" s="14" t="s">
        <v>26</v>
      </c>
      <c r="N107" s="2" t="s">
        <v>22</v>
      </c>
      <c r="O107" s="4">
        <v>19950</v>
      </c>
      <c r="P107">
        <v>23541</v>
      </c>
      <c r="Q107" s="21">
        <f>Table1[[#This Row],[סכום כולל מע"מ]]-Table1[[#This Row],[סכום לפני מעמ2]]</f>
        <v>3591</v>
      </c>
    </row>
    <row r="108" spans="2:17" hidden="1" x14ac:dyDescent="0.25">
      <c r="B108">
        <v>106</v>
      </c>
      <c r="C108" t="s">
        <v>15</v>
      </c>
      <c r="D108">
        <v>106</v>
      </c>
      <c r="E108" s="13" t="s">
        <v>237</v>
      </c>
      <c r="F108">
        <v>60471</v>
      </c>
      <c r="G108" s="7">
        <v>46022</v>
      </c>
      <c r="H108" s="2" t="s">
        <v>238</v>
      </c>
      <c r="I108" s="2" t="s">
        <v>18</v>
      </c>
      <c r="J108" s="2" t="s">
        <v>25</v>
      </c>
      <c r="L108" s="2" t="s">
        <v>20</v>
      </c>
      <c r="M108" s="14" t="s">
        <v>26</v>
      </c>
      <c r="N108" s="2" t="s">
        <v>22</v>
      </c>
      <c r="O108" s="4">
        <v>19950</v>
      </c>
      <c r="P108">
        <v>23541</v>
      </c>
      <c r="Q108" s="21">
        <f>Table1[[#This Row],[סכום כולל מע"מ]]-Table1[[#This Row],[סכום לפני מעמ2]]</f>
        <v>3591</v>
      </c>
    </row>
    <row r="109" spans="2:17" hidden="1" x14ac:dyDescent="0.25">
      <c r="B109">
        <v>107</v>
      </c>
      <c r="C109" t="s">
        <v>15</v>
      </c>
      <c r="D109">
        <v>107</v>
      </c>
      <c r="E109" s="13" t="s">
        <v>239</v>
      </c>
      <c r="F109">
        <v>60471</v>
      </c>
      <c r="G109" s="7">
        <v>46022</v>
      </c>
      <c r="H109" s="2" t="s">
        <v>240</v>
      </c>
      <c r="I109" s="2" t="s">
        <v>18</v>
      </c>
      <c r="J109" s="2" t="s">
        <v>19</v>
      </c>
      <c r="L109" s="2" t="s">
        <v>20</v>
      </c>
      <c r="M109" s="14" t="s">
        <v>21</v>
      </c>
      <c r="N109" s="2" t="s">
        <v>22</v>
      </c>
      <c r="O109" s="4">
        <v>19950</v>
      </c>
      <c r="P109">
        <v>23541</v>
      </c>
      <c r="Q109" s="21">
        <f>Table1[[#This Row],[סכום כולל מע"מ]]-Table1[[#This Row],[סכום לפני מעמ2]]</f>
        <v>3591</v>
      </c>
    </row>
    <row r="110" spans="2:17" hidden="1" x14ac:dyDescent="0.25">
      <c r="B110">
        <v>108</v>
      </c>
      <c r="C110" t="s">
        <v>15</v>
      </c>
      <c r="D110">
        <v>108</v>
      </c>
      <c r="E110" s="13" t="s">
        <v>241</v>
      </c>
      <c r="F110">
        <v>60471</v>
      </c>
      <c r="G110" s="7">
        <v>46022</v>
      </c>
      <c r="H110" s="2" t="s">
        <v>242</v>
      </c>
      <c r="I110" s="2" t="s">
        <v>18</v>
      </c>
      <c r="J110" s="2" t="s">
        <v>19</v>
      </c>
      <c r="L110" s="2" t="s">
        <v>20</v>
      </c>
      <c r="M110" s="14" t="s">
        <v>21</v>
      </c>
      <c r="N110" s="2" t="s">
        <v>22</v>
      </c>
      <c r="O110" s="4">
        <v>19950</v>
      </c>
      <c r="P110">
        <v>23541</v>
      </c>
      <c r="Q110" s="21">
        <f>Table1[[#This Row],[סכום כולל מע"מ]]-Table1[[#This Row],[סכום לפני מעמ2]]</f>
        <v>3591</v>
      </c>
    </row>
    <row r="111" spans="2:17" hidden="1" x14ac:dyDescent="0.25">
      <c r="B111">
        <v>109</v>
      </c>
      <c r="C111" t="s">
        <v>15</v>
      </c>
      <c r="D111">
        <v>109</v>
      </c>
      <c r="E111" s="13" t="s">
        <v>243</v>
      </c>
      <c r="F111">
        <v>60471</v>
      </c>
      <c r="G111" s="7">
        <v>46022</v>
      </c>
      <c r="H111" s="2" t="s">
        <v>244</v>
      </c>
      <c r="I111" s="2" t="s">
        <v>18</v>
      </c>
      <c r="J111" s="2" t="s">
        <v>25</v>
      </c>
      <c r="L111" s="2" t="s">
        <v>20</v>
      </c>
      <c r="M111" s="14" t="s">
        <v>26</v>
      </c>
      <c r="N111" s="2" t="s">
        <v>22</v>
      </c>
      <c r="O111" s="4">
        <v>19950</v>
      </c>
      <c r="P111">
        <v>23541</v>
      </c>
      <c r="Q111" s="21">
        <f>Table1[[#This Row],[סכום כולל מע"מ]]-Table1[[#This Row],[סכום לפני מעמ2]]</f>
        <v>3591</v>
      </c>
    </row>
    <row r="112" spans="2:17" hidden="1" x14ac:dyDescent="0.25">
      <c r="B112">
        <v>110</v>
      </c>
      <c r="C112" t="s">
        <v>15</v>
      </c>
      <c r="D112">
        <v>110</v>
      </c>
      <c r="E112" s="13" t="s">
        <v>245</v>
      </c>
      <c r="F112">
        <v>60471</v>
      </c>
      <c r="G112" s="7">
        <v>46022</v>
      </c>
      <c r="H112" s="2" t="s">
        <v>246</v>
      </c>
      <c r="I112" s="2" t="s">
        <v>18</v>
      </c>
      <c r="J112" s="2" t="s">
        <v>59</v>
      </c>
      <c r="L112" s="2" t="s">
        <v>20</v>
      </c>
      <c r="M112" s="14" t="s">
        <v>60</v>
      </c>
      <c r="N112" s="2" t="s">
        <v>22</v>
      </c>
      <c r="O112" s="4">
        <v>19970</v>
      </c>
      <c r="P112">
        <v>23564.6</v>
      </c>
      <c r="Q112" s="21">
        <f>Table1[[#This Row],[סכום כולל מע"מ]]-Table1[[#This Row],[סכום לפני מעמ2]]</f>
        <v>3594.5999999999985</v>
      </c>
    </row>
    <row r="113" spans="2:17" x14ac:dyDescent="0.25">
      <c r="B113">
        <v>111</v>
      </c>
      <c r="C113" t="s">
        <v>15</v>
      </c>
      <c r="D113">
        <v>111</v>
      </c>
      <c r="E113" s="13" t="s">
        <v>247</v>
      </c>
      <c r="F113">
        <v>60471</v>
      </c>
      <c r="G113" s="7">
        <v>46022</v>
      </c>
      <c r="H113" s="2" t="s">
        <v>248</v>
      </c>
      <c r="I113" s="2" t="s">
        <v>18</v>
      </c>
      <c r="J113" s="2" t="s">
        <v>25</v>
      </c>
      <c r="L113" s="2" t="s">
        <v>20</v>
      </c>
      <c r="M113" s="14" t="s">
        <v>26</v>
      </c>
      <c r="N113" s="2" t="s">
        <v>22</v>
      </c>
      <c r="O113" s="4">
        <v>9072.59</v>
      </c>
      <c r="P113">
        <v>10705.66</v>
      </c>
      <c r="Q113" s="21">
        <f>Table1[[#This Row],[סכום כולל מע"מ]]-Table1[[#This Row],[סכום לפני מעמ2]]</f>
        <v>1633.0699999999997</v>
      </c>
    </row>
    <row r="114" spans="2:17" hidden="1" x14ac:dyDescent="0.25">
      <c r="B114">
        <v>112</v>
      </c>
      <c r="C114" t="s">
        <v>15</v>
      </c>
      <c r="D114">
        <v>112</v>
      </c>
      <c r="E114" s="13" t="s">
        <v>249</v>
      </c>
      <c r="F114">
        <v>60471</v>
      </c>
      <c r="G114" s="7">
        <v>46022</v>
      </c>
      <c r="H114" s="2" t="s">
        <v>250</v>
      </c>
      <c r="I114" s="2" t="s">
        <v>18</v>
      </c>
      <c r="J114" s="2" t="s">
        <v>25</v>
      </c>
      <c r="L114" s="2" t="s">
        <v>20</v>
      </c>
      <c r="M114" s="14" t="s">
        <v>26</v>
      </c>
      <c r="N114" s="2" t="s">
        <v>22</v>
      </c>
      <c r="O114" s="4">
        <v>19950</v>
      </c>
      <c r="P114">
        <v>23541</v>
      </c>
      <c r="Q114" s="21">
        <f>Table1[[#This Row],[סכום כולל מע"מ]]-Table1[[#This Row],[סכום לפני מעמ2]]</f>
        <v>3591</v>
      </c>
    </row>
    <row r="115" spans="2:17" x14ac:dyDescent="0.25">
      <c r="B115">
        <v>113</v>
      </c>
      <c r="C115" t="s">
        <v>15</v>
      </c>
      <c r="D115">
        <v>113</v>
      </c>
      <c r="E115" s="13" t="s">
        <v>251</v>
      </c>
      <c r="F115">
        <v>60471</v>
      </c>
      <c r="G115" s="7">
        <v>46022</v>
      </c>
      <c r="H115" s="2" t="s">
        <v>252</v>
      </c>
      <c r="I115" s="2" t="s">
        <v>18</v>
      </c>
      <c r="J115" s="2" t="s">
        <v>25</v>
      </c>
      <c r="L115" s="2" t="s">
        <v>20</v>
      </c>
      <c r="M115" s="14" t="s">
        <v>26</v>
      </c>
      <c r="N115" s="2" t="s">
        <v>22</v>
      </c>
      <c r="O115" s="4">
        <v>1530</v>
      </c>
      <c r="P115">
        <v>1805.4</v>
      </c>
      <c r="Q115" s="21">
        <f>Table1[[#This Row],[סכום כולל מע"מ]]-Table1[[#This Row],[סכום לפני מעמ2]]</f>
        <v>275.40000000000009</v>
      </c>
    </row>
    <row r="116" spans="2:17" hidden="1" x14ac:dyDescent="0.25">
      <c r="B116">
        <v>114</v>
      </c>
      <c r="C116" t="s">
        <v>15</v>
      </c>
      <c r="D116">
        <v>114</v>
      </c>
      <c r="E116" s="13" t="s">
        <v>253</v>
      </c>
      <c r="F116">
        <v>60471</v>
      </c>
      <c r="G116" s="7">
        <v>46022</v>
      </c>
      <c r="H116" s="2" t="s">
        <v>254</v>
      </c>
      <c r="I116" s="2" t="s">
        <v>18</v>
      </c>
      <c r="J116" s="2" t="s">
        <v>25</v>
      </c>
      <c r="L116" s="2" t="s">
        <v>20</v>
      </c>
      <c r="M116" s="14" t="s">
        <v>26</v>
      </c>
      <c r="N116" s="2" t="s">
        <v>22</v>
      </c>
      <c r="O116" s="4">
        <v>19995</v>
      </c>
      <c r="P116">
        <v>23594.1</v>
      </c>
      <c r="Q116" s="21">
        <f>Table1[[#This Row],[סכום כולל מע"מ]]-Table1[[#This Row],[סכום לפני מעמ2]]</f>
        <v>3599.0999999999985</v>
      </c>
    </row>
    <row r="117" spans="2:17" hidden="1" x14ac:dyDescent="0.25">
      <c r="B117">
        <v>115</v>
      </c>
      <c r="C117" t="s">
        <v>15</v>
      </c>
      <c r="D117">
        <v>115</v>
      </c>
      <c r="E117" s="13" t="s">
        <v>255</v>
      </c>
      <c r="F117">
        <v>60471</v>
      </c>
      <c r="G117" s="7">
        <v>46022</v>
      </c>
      <c r="H117" s="2" t="s">
        <v>256</v>
      </c>
      <c r="I117" s="2" t="s">
        <v>18</v>
      </c>
      <c r="J117" s="2" t="s">
        <v>59</v>
      </c>
      <c r="L117" s="2" t="s">
        <v>20</v>
      </c>
      <c r="M117" s="14" t="s">
        <v>60</v>
      </c>
      <c r="N117" s="2" t="s">
        <v>22</v>
      </c>
      <c r="O117" s="4">
        <v>19995</v>
      </c>
      <c r="P117">
        <v>23594.1</v>
      </c>
      <c r="Q117" s="21">
        <f>Table1[[#This Row],[סכום כולל מע"מ]]-Table1[[#This Row],[סכום לפני מעמ2]]</f>
        <v>3599.0999999999985</v>
      </c>
    </row>
    <row r="118" spans="2:17" hidden="1" x14ac:dyDescent="0.25">
      <c r="B118">
        <v>116</v>
      </c>
      <c r="C118" t="s">
        <v>15</v>
      </c>
      <c r="D118">
        <v>116</v>
      </c>
      <c r="E118" s="13" t="s">
        <v>257</v>
      </c>
      <c r="F118">
        <v>60471</v>
      </c>
      <c r="G118" s="7">
        <v>46022</v>
      </c>
      <c r="H118" s="2" t="s">
        <v>258</v>
      </c>
      <c r="I118" s="2" t="s">
        <v>18</v>
      </c>
      <c r="J118" s="2" t="s">
        <v>25</v>
      </c>
      <c r="L118" s="2" t="s">
        <v>20</v>
      </c>
      <c r="M118" s="14" t="s">
        <v>26</v>
      </c>
      <c r="N118" s="2" t="s">
        <v>22</v>
      </c>
      <c r="O118" s="4">
        <v>19995</v>
      </c>
      <c r="P118">
        <v>23594.1</v>
      </c>
      <c r="Q118" s="21">
        <f>Table1[[#This Row],[סכום כולל מע"מ]]-Table1[[#This Row],[סכום לפני מעמ2]]</f>
        <v>3599.0999999999985</v>
      </c>
    </row>
    <row r="119" spans="2:17" hidden="1" x14ac:dyDescent="0.25">
      <c r="B119">
        <v>117</v>
      </c>
      <c r="C119" t="s">
        <v>15</v>
      </c>
      <c r="D119">
        <v>117</v>
      </c>
      <c r="E119" s="13" t="s">
        <v>259</v>
      </c>
      <c r="F119">
        <v>60471</v>
      </c>
      <c r="G119" s="7">
        <v>46022</v>
      </c>
      <c r="H119" s="2" t="s">
        <v>260</v>
      </c>
      <c r="I119" s="2" t="s">
        <v>18</v>
      </c>
      <c r="J119" s="2" t="s">
        <v>25</v>
      </c>
      <c r="L119" s="2" t="s">
        <v>20</v>
      </c>
      <c r="M119" s="14" t="s">
        <v>26</v>
      </c>
      <c r="N119" s="2" t="s">
        <v>22</v>
      </c>
      <c r="O119" s="4">
        <v>19950</v>
      </c>
      <c r="P119">
        <v>23541</v>
      </c>
      <c r="Q119" s="21">
        <f>Table1[[#This Row],[סכום כולל מע"מ]]-Table1[[#This Row],[סכום לפני מעמ2]]</f>
        <v>3591</v>
      </c>
    </row>
    <row r="120" spans="2:17" hidden="1" x14ac:dyDescent="0.25">
      <c r="B120">
        <v>118</v>
      </c>
      <c r="C120" t="s">
        <v>15</v>
      </c>
      <c r="D120">
        <v>118</v>
      </c>
      <c r="E120" s="13" t="s">
        <v>261</v>
      </c>
      <c r="F120">
        <v>60471</v>
      </c>
      <c r="G120" s="7">
        <v>46022</v>
      </c>
      <c r="H120" s="2" t="s">
        <v>262</v>
      </c>
      <c r="I120" s="2" t="s">
        <v>18</v>
      </c>
      <c r="J120" s="2" t="s">
        <v>59</v>
      </c>
      <c r="L120" s="2" t="s">
        <v>20</v>
      </c>
      <c r="M120" s="14" t="s">
        <v>60</v>
      </c>
      <c r="N120" s="2" t="s">
        <v>22</v>
      </c>
      <c r="O120" s="4">
        <v>19970</v>
      </c>
      <c r="P120">
        <v>23564.6</v>
      </c>
      <c r="Q120" s="21">
        <f>Table1[[#This Row],[סכום כולל מע"מ]]-Table1[[#This Row],[סכום לפני מעמ2]]</f>
        <v>3594.5999999999985</v>
      </c>
    </row>
    <row r="121" spans="2:17" hidden="1" x14ac:dyDescent="0.25">
      <c r="B121">
        <v>119</v>
      </c>
      <c r="C121" t="s">
        <v>15</v>
      </c>
      <c r="D121">
        <v>119</v>
      </c>
      <c r="E121" s="13" t="s">
        <v>263</v>
      </c>
      <c r="F121">
        <v>60471</v>
      </c>
      <c r="G121" s="7">
        <v>46022</v>
      </c>
      <c r="H121" s="2" t="s">
        <v>264</v>
      </c>
      <c r="I121" s="2" t="s">
        <v>18</v>
      </c>
      <c r="J121" s="2" t="s">
        <v>33</v>
      </c>
      <c r="L121" s="2" t="s">
        <v>20</v>
      </c>
      <c r="M121" s="14" t="s">
        <v>34</v>
      </c>
      <c r="N121" s="2" t="s">
        <v>22</v>
      </c>
      <c r="O121" s="4">
        <v>19995</v>
      </c>
      <c r="P121">
        <v>23594.1</v>
      </c>
      <c r="Q121" s="21">
        <f>Table1[[#This Row],[סכום כולל מע"מ]]-Table1[[#This Row],[סכום לפני מעמ2]]</f>
        <v>3599.0999999999985</v>
      </c>
    </row>
    <row r="122" spans="2:17" hidden="1" x14ac:dyDescent="0.25">
      <c r="B122">
        <v>120</v>
      </c>
      <c r="C122" t="s">
        <v>15</v>
      </c>
      <c r="D122">
        <v>120</v>
      </c>
      <c r="E122" s="13" t="s">
        <v>265</v>
      </c>
      <c r="F122">
        <v>60471</v>
      </c>
      <c r="G122" s="7">
        <v>46022</v>
      </c>
      <c r="H122" s="2" t="s">
        <v>266</v>
      </c>
      <c r="I122" s="2" t="s">
        <v>18</v>
      </c>
      <c r="J122" s="2" t="s">
        <v>59</v>
      </c>
      <c r="L122" s="2" t="s">
        <v>20</v>
      </c>
      <c r="M122" s="14" t="s">
        <v>60</v>
      </c>
      <c r="N122" s="2" t="s">
        <v>22</v>
      </c>
      <c r="O122" s="4">
        <v>19970</v>
      </c>
      <c r="P122">
        <v>23564.6</v>
      </c>
      <c r="Q122" s="21">
        <f>Table1[[#This Row],[סכום כולל מע"מ]]-Table1[[#This Row],[סכום לפני מעמ2]]</f>
        <v>3594.5999999999985</v>
      </c>
    </row>
    <row r="123" spans="2:17" hidden="1" x14ac:dyDescent="0.25">
      <c r="B123">
        <v>121</v>
      </c>
      <c r="C123" t="s">
        <v>15</v>
      </c>
      <c r="D123">
        <v>121</v>
      </c>
      <c r="E123" s="13" t="s">
        <v>267</v>
      </c>
      <c r="F123">
        <v>60471</v>
      </c>
      <c r="G123" s="7">
        <v>46022</v>
      </c>
      <c r="H123" s="2" t="s">
        <v>268</v>
      </c>
      <c r="I123" s="2" t="s">
        <v>18</v>
      </c>
      <c r="J123" s="2" t="s">
        <v>25</v>
      </c>
      <c r="L123" s="2" t="s">
        <v>20</v>
      </c>
      <c r="M123" s="14" t="s">
        <v>26</v>
      </c>
      <c r="N123" s="2" t="s">
        <v>22</v>
      </c>
      <c r="O123" s="4">
        <v>19980</v>
      </c>
      <c r="P123">
        <v>23576.400000000001</v>
      </c>
      <c r="Q123" s="21">
        <f>Table1[[#This Row],[סכום כולל מע"מ]]-Table1[[#This Row],[סכום לפני מעמ2]]</f>
        <v>3596.4000000000015</v>
      </c>
    </row>
    <row r="124" spans="2:17" hidden="1" x14ac:dyDescent="0.25">
      <c r="B124">
        <v>122</v>
      </c>
      <c r="C124" t="s">
        <v>15</v>
      </c>
      <c r="D124">
        <v>122</v>
      </c>
      <c r="E124" s="13" t="s">
        <v>269</v>
      </c>
      <c r="F124">
        <v>60471</v>
      </c>
      <c r="G124" s="7">
        <v>46022</v>
      </c>
      <c r="H124" s="2" t="s">
        <v>270</v>
      </c>
      <c r="I124" s="2" t="s">
        <v>18</v>
      </c>
      <c r="J124" s="2" t="s">
        <v>33</v>
      </c>
      <c r="L124" s="2" t="s">
        <v>20</v>
      </c>
      <c r="M124" s="14" t="s">
        <v>34</v>
      </c>
      <c r="N124" s="2" t="s">
        <v>22</v>
      </c>
      <c r="O124" s="4">
        <v>19995</v>
      </c>
      <c r="P124">
        <v>23594.1</v>
      </c>
      <c r="Q124" s="21">
        <f>Table1[[#This Row],[סכום כולל מע"מ]]-Table1[[#This Row],[סכום לפני מעמ2]]</f>
        <v>3599.0999999999985</v>
      </c>
    </row>
    <row r="125" spans="2:17" hidden="1" x14ac:dyDescent="0.25">
      <c r="B125">
        <v>123</v>
      </c>
      <c r="C125" t="s">
        <v>15</v>
      </c>
      <c r="D125">
        <v>123</v>
      </c>
      <c r="E125" s="13" t="s">
        <v>271</v>
      </c>
      <c r="F125">
        <v>60471</v>
      </c>
      <c r="G125" s="7">
        <v>46022</v>
      </c>
      <c r="H125" s="2" t="s">
        <v>272</v>
      </c>
      <c r="I125" s="2" t="s">
        <v>18</v>
      </c>
      <c r="J125" s="2" t="s">
        <v>59</v>
      </c>
      <c r="L125" s="2" t="s">
        <v>20</v>
      </c>
      <c r="M125" s="14" t="s">
        <v>60</v>
      </c>
      <c r="N125" s="2" t="s">
        <v>22</v>
      </c>
      <c r="O125" s="4">
        <v>19970</v>
      </c>
      <c r="P125">
        <v>23564.6</v>
      </c>
      <c r="Q125" s="21">
        <f>Table1[[#This Row],[סכום כולל מע"מ]]-Table1[[#This Row],[סכום לפני מעמ2]]</f>
        <v>3594.5999999999985</v>
      </c>
    </row>
    <row r="126" spans="2:17" hidden="1" x14ac:dyDescent="0.25">
      <c r="B126">
        <v>124</v>
      </c>
      <c r="C126" t="s">
        <v>15</v>
      </c>
      <c r="D126">
        <v>124</v>
      </c>
      <c r="E126" s="13" t="s">
        <v>273</v>
      </c>
      <c r="F126">
        <v>60471</v>
      </c>
      <c r="G126" s="7">
        <v>46022</v>
      </c>
      <c r="H126" s="2" t="s">
        <v>274</v>
      </c>
      <c r="I126" s="2" t="s">
        <v>18</v>
      </c>
      <c r="J126" s="2" t="s">
        <v>33</v>
      </c>
      <c r="L126" s="2" t="s">
        <v>20</v>
      </c>
      <c r="M126" s="14" t="s">
        <v>34</v>
      </c>
      <c r="N126" s="2" t="s">
        <v>22</v>
      </c>
      <c r="O126" s="4">
        <v>19995</v>
      </c>
      <c r="P126">
        <v>23594.1</v>
      </c>
      <c r="Q126" s="21">
        <f>Table1[[#This Row],[סכום כולל מע"מ]]-Table1[[#This Row],[סכום לפני מעמ2]]</f>
        <v>3599.0999999999985</v>
      </c>
    </row>
    <row r="127" spans="2:17" hidden="1" x14ac:dyDescent="0.25">
      <c r="B127">
        <v>125</v>
      </c>
      <c r="C127" t="s">
        <v>15</v>
      </c>
      <c r="D127">
        <v>125</v>
      </c>
      <c r="E127" s="13" t="s">
        <v>275</v>
      </c>
      <c r="F127">
        <v>60471</v>
      </c>
      <c r="G127" s="7">
        <v>46022</v>
      </c>
      <c r="H127" s="2" t="s">
        <v>276</v>
      </c>
      <c r="I127" s="2" t="s">
        <v>18</v>
      </c>
      <c r="J127" s="2" t="s">
        <v>25</v>
      </c>
      <c r="L127" s="2" t="s">
        <v>20</v>
      </c>
      <c r="M127" s="14" t="s">
        <v>26</v>
      </c>
      <c r="N127" s="2" t="s">
        <v>22</v>
      </c>
      <c r="O127" s="4">
        <v>19980</v>
      </c>
      <c r="P127">
        <v>23576.400000000001</v>
      </c>
      <c r="Q127" s="21">
        <f>Table1[[#This Row],[סכום כולל מע"מ]]-Table1[[#This Row],[סכום לפני מעמ2]]</f>
        <v>3596.4000000000015</v>
      </c>
    </row>
    <row r="128" spans="2:17" hidden="1" x14ac:dyDescent="0.25">
      <c r="B128">
        <v>126</v>
      </c>
      <c r="C128" t="s">
        <v>15</v>
      </c>
      <c r="D128">
        <v>126</v>
      </c>
      <c r="E128" s="13" t="s">
        <v>277</v>
      </c>
      <c r="F128">
        <v>60471</v>
      </c>
      <c r="G128" s="7">
        <v>46022</v>
      </c>
      <c r="H128" s="2" t="s">
        <v>278</v>
      </c>
      <c r="I128" s="2" t="s">
        <v>18</v>
      </c>
      <c r="J128" s="2" t="s">
        <v>25</v>
      </c>
      <c r="L128" s="2" t="s">
        <v>20</v>
      </c>
      <c r="M128" s="14" t="s">
        <v>26</v>
      </c>
      <c r="N128" s="2" t="s">
        <v>22</v>
      </c>
      <c r="O128" s="4">
        <v>19950</v>
      </c>
      <c r="P128">
        <v>23541</v>
      </c>
      <c r="Q128" s="21">
        <f>Table1[[#This Row],[סכום כולל מע"מ]]-Table1[[#This Row],[סכום לפני מעמ2]]</f>
        <v>3591</v>
      </c>
    </row>
    <row r="129" spans="2:17" hidden="1" x14ac:dyDescent="0.25">
      <c r="B129">
        <v>127</v>
      </c>
      <c r="C129" t="s">
        <v>15</v>
      </c>
      <c r="D129">
        <v>127</v>
      </c>
      <c r="E129" s="13" t="s">
        <v>279</v>
      </c>
      <c r="F129">
        <v>60471</v>
      </c>
      <c r="G129" s="7">
        <v>46022</v>
      </c>
      <c r="H129" s="2" t="s">
        <v>280</v>
      </c>
      <c r="I129" s="2" t="s">
        <v>18</v>
      </c>
      <c r="J129" s="2" t="s">
        <v>25</v>
      </c>
      <c r="L129" s="2" t="s">
        <v>20</v>
      </c>
      <c r="M129" s="14" t="s">
        <v>26</v>
      </c>
      <c r="N129" s="2" t="s">
        <v>22</v>
      </c>
      <c r="O129" s="4">
        <v>19950</v>
      </c>
      <c r="P129">
        <v>23541</v>
      </c>
      <c r="Q129" s="21">
        <f>Table1[[#This Row],[סכום כולל מע"מ]]-Table1[[#This Row],[סכום לפני מעמ2]]</f>
        <v>3591</v>
      </c>
    </row>
    <row r="130" spans="2:17" hidden="1" x14ac:dyDescent="0.25">
      <c r="B130">
        <v>128</v>
      </c>
      <c r="C130" t="s">
        <v>15</v>
      </c>
      <c r="D130">
        <v>128</v>
      </c>
      <c r="E130" s="13" t="s">
        <v>281</v>
      </c>
      <c r="F130">
        <v>60471</v>
      </c>
      <c r="G130" s="7">
        <v>46022</v>
      </c>
      <c r="H130" s="2" t="s">
        <v>282</v>
      </c>
      <c r="I130" s="2" t="s">
        <v>18</v>
      </c>
      <c r="J130" s="2" t="s">
        <v>25</v>
      </c>
      <c r="L130" s="2" t="s">
        <v>20</v>
      </c>
      <c r="M130" s="14" t="s">
        <v>26</v>
      </c>
      <c r="N130" s="2" t="s">
        <v>22</v>
      </c>
      <c r="O130" s="4">
        <v>19950</v>
      </c>
      <c r="P130">
        <v>23541</v>
      </c>
      <c r="Q130" s="21">
        <f>Table1[[#This Row],[סכום כולל מע"מ]]-Table1[[#This Row],[סכום לפני מעמ2]]</f>
        <v>3591</v>
      </c>
    </row>
    <row r="131" spans="2:17" hidden="1" x14ac:dyDescent="0.25">
      <c r="B131">
        <v>129</v>
      </c>
      <c r="C131" t="s">
        <v>15</v>
      </c>
      <c r="D131">
        <v>129</v>
      </c>
      <c r="E131" s="13" t="s">
        <v>283</v>
      </c>
      <c r="F131">
        <v>60471</v>
      </c>
      <c r="G131" s="7">
        <v>46022</v>
      </c>
      <c r="H131" s="2" t="s">
        <v>284</v>
      </c>
      <c r="I131" s="2" t="s">
        <v>18</v>
      </c>
      <c r="J131" s="2" t="s">
        <v>25</v>
      </c>
      <c r="L131" s="2" t="s">
        <v>20</v>
      </c>
      <c r="M131" s="14" t="s">
        <v>26</v>
      </c>
      <c r="N131" s="2" t="s">
        <v>22</v>
      </c>
      <c r="O131" s="4">
        <v>19950</v>
      </c>
      <c r="P131">
        <v>23541</v>
      </c>
      <c r="Q131" s="21">
        <f>Table1[[#This Row],[סכום כולל מע"מ]]-Table1[[#This Row],[סכום לפני מעמ2]]</f>
        <v>3591</v>
      </c>
    </row>
    <row r="132" spans="2:17" hidden="1" x14ac:dyDescent="0.25">
      <c r="B132">
        <v>130</v>
      </c>
      <c r="C132" t="s">
        <v>15</v>
      </c>
      <c r="D132">
        <v>130</v>
      </c>
      <c r="E132" s="13" t="s">
        <v>285</v>
      </c>
      <c r="F132">
        <v>60471</v>
      </c>
      <c r="G132" s="7">
        <v>46022</v>
      </c>
      <c r="H132" s="2" t="s">
        <v>286</v>
      </c>
      <c r="I132" s="2" t="s">
        <v>18</v>
      </c>
      <c r="J132" s="2" t="s">
        <v>25</v>
      </c>
      <c r="L132" s="2" t="s">
        <v>20</v>
      </c>
      <c r="M132" s="14" t="s">
        <v>26</v>
      </c>
      <c r="N132" s="2" t="s">
        <v>22</v>
      </c>
      <c r="O132" s="4">
        <v>19871</v>
      </c>
      <c r="P132">
        <v>23447.78</v>
      </c>
      <c r="Q132" s="21">
        <f>Table1[[#This Row],[סכום כולל מע"מ]]-Table1[[#This Row],[סכום לפני מעמ2]]</f>
        <v>3576.7799999999988</v>
      </c>
    </row>
    <row r="133" spans="2:17" hidden="1" x14ac:dyDescent="0.25">
      <c r="B133">
        <v>131</v>
      </c>
      <c r="C133" t="s">
        <v>15</v>
      </c>
      <c r="D133">
        <v>131</v>
      </c>
      <c r="E133" s="13" t="s">
        <v>287</v>
      </c>
      <c r="F133">
        <v>60471</v>
      </c>
      <c r="G133" s="7">
        <v>46022</v>
      </c>
      <c r="H133" s="2" t="s">
        <v>288</v>
      </c>
      <c r="I133" s="2" t="s">
        <v>18</v>
      </c>
      <c r="J133" s="2" t="s">
        <v>33</v>
      </c>
      <c r="L133" s="2" t="s">
        <v>20</v>
      </c>
      <c r="M133" s="14" t="s">
        <v>34</v>
      </c>
      <c r="N133" s="2" t="s">
        <v>22</v>
      </c>
      <c r="O133" s="4">
        <v>19995</v>
      </c>
      <c r="P133">
        <v>23594.1</v>
      </c>
      <c r="Q133" s="21">
        <f>Table1[[#This Row],[סכום כולל מע"מ]]-Table1[[#This Row],[סכום לפני מעמ2]]</f>
        <v>3599.0999999999985</v>
      </c>
    </row>
    <row r="134" spans="2:17" hidden="1" x14ac:dyDescent="0.25">
      <c r="B134">
        <v>132</v>
      </c>
      <c r="C134" t="s">
        <v>15</v>
      </c>
      <c r="D134">
        <v>132</v>
      </c>
      <c r="E134" s="13" t="s">
        <v>289</v>
      </c>
      <c r="F134">
        <v>60471</v>
      </c>
      <c r="G134" s="7">
        <v>46022</v>
      </c>
      <c r="H134" s="2" t="s">
        <v>290</v>
      </c>
      <c r="I134" s="2" t="s">
        <v>18</v>
      </c>
      <c r="J134" s="2" t="s">
        <v>33</v>
      </c>
      <c r="L134" s="2" t="s">
        <v>20</v>
      </c>
      <c r="M134" s="14" t="s">
        <v>34</v>
      </c>
      <c r="N134" s="2" t="s">
        <v>22</v>
      </c>
      <c r="O134" s="4">
        <v>19995</v>
      </c>
      <c r="P134">
        <v>23594.1</v>
      </c>
      <c r="Q134" s="21">
        <f>Table1[[#This Row],[סכום כולל מע"מ]]-Table1[[#This Row],[סכום לפני מעמ2]]</f>
        <v>3599.0999999999985</v>
      </c>
    </row>
    <row r="135" spans="2:17" hidden="1" x14ac:dyDescent="0.25">
      <c r="B135">
        <v>133</v>
      </c>
      <c r="C135" t="s">
        <v>15</v>
      </c>
      <c r="D135">
        <v>133</v>
      </c>
      <c r="E135" s="13" t="s">
        <v>291</v>
      </c>
      <c r="F135">
        <v>60471</v>
      </c>
      <c r="G135" s="7">
        <v>46022</v>
      </c>
      <c r="H135" s="2" t="s">
        <v>292</v>
      </c>
      <c r="I135" s="2" t="s">
        <v>18</v>
      </c>
      <c r="J135" s="2" t="s">
        <v>25</v>
      </c>
      <c r="L135" s="2" t="s">
        <v>20</v>
      </c>
      <c r="M135" s="14" t="s">
        <v>26</v>
      </c>
      <c r="N135" s="2" t="s">
        <v>22</v>
      </c>
      <c r="O135" s="4">
        <v>19980</v>
      </c>
      <c r="P135">
        <v>23576.400000000001</v>
      </c>
      <c r="Q135" s="21">
        <f>Table1[[#This Row],[סכום כולל מע"מ]]-Table1[[#This Row],[סכום לפני מעמ2]]</f>
        <v>3596.4000000000015</v>
      </c>
    </row>
    <row r="136" spans="2:17" hidden="1" x14ac:dyDescent="0.25">
      <c r="B136">
        <v>134</v>
      </c>
      <c r="C136" t="s">
        <v>15</v>
      </c>
      <c r="D136">
        <v>134</v>
      </c>
      <c r="E136" s="13" t="s">
        <v>293</v>
      </c>
      <c r="F136">
        <v>60471</v>
      </c>
      <c r="G136" s="7">
        <v>46022</v>
      </c>
      <c r="H136" s="2" t="s">
        <v>294</v>
      </c>
      <c r="I136" s="2" t="s">
        <v>18</v>
      </c>
      <c r="J136" s="2" t="s">
        <v>25</v>
      </c>
      <c r="L136" s="2" t="s">
        <v>20</v>
      </c>
      <c r="M136" s="14" t="s">
        <v>26</v>
      </c>
      <c r="N136" s="2" t="s">
        <v>22</v>
      </c>
      <c r="O136" s="4">
        <v>19871</v>
      </c>
      <c r="P136">
        <v>23447.78</v>
      </c>
      <c r="Q136" s="21">
        <f>Table1[[#This Row],[סכום כולל מע"מ]]-Table1[[#This Row],[סכום לפני מעמ2]]</f>
        <v>3576.7799999999988</v>
      </c>
    </row>
    <row r="137" spans="2:17" hidden="1" x14ac:dyDescent="0.25">
      <c r="B137">
        <v>135</v>
      </c>
      <c r="C137" t="s">
        <v>15</v>
      </c>
      <c r="D137">
        <v>135</v>
      </c>
      <c r="E137" s="13" t="s">
        <v>295</v>
      </c>
      <c r="F137">
        <v>60471</v>
      </c>
      <c r="G137" s="7">
        <v>46022</v>
      </c>
      <c r="H137" s="2" t="s">
        <v>296</v>
      </c>
      <c r="I137" s="2" t="s">
        <v>18</v>
      </c>
      <c r="J137" s="2" t="s">
        <v>25</v>
      </c>
      <c r="L137" s="2" t="s">
        <v>20</v>
      </c>
      <c r="M137" s="14" t="s">
        <v>26</v>
      </c>
      <c r="N137" s="2" t="s">
        <v>22</v>
      </c>
      <c r="O137" s="4">
        <v>19980</v>
      </c>
      <c r="P137">
        <v>23576.400000000001</v>
      </c>
      <c r="Q137" s="21">
        <f>Table1[[#This Row],[סכום כולל מע"מ]]-Table1[[#This Row],[סכום לפני מעמ2]]</f>
        <v>3596.4000000000015</v>
      </c>
    </row>
    <row r="138" spans="2:17" hidden="1" x14ac:dyDescent="0.25">
      <c r="B138">
        <v>136</v>
      </c>
      <c r="C138" t="s">
        <v>15</v>
      </c>
      <c r="D138">
        <v>136</v>
      </c>
      <c r="E138" s="13" t="s">
        <v>297</v>
      </c>
      <c r="F138">
        <v>60471</v>
      </c>
      <c r="G138" s="7">
        <v>46022</v>
      </c>
      <c r="H138" s="2" t="s">
        <v>298</v>
      </c>
      <c r="I138" s="2" t="s">
        <v>18</v>
      </c>
      <c r="J138" s="2" t="s">
        <v>25</v>
      </c>
      <c r="L138" s="2" t="s">
        <v>20</v>
      </c>
      <c r="M138" s="14" t="s">
        <v>26</v>
      </c>
      <c r="N138" s="2" t="s">
        <v>22</v>
      </c>
      <c r="O138" s="4">
        <v>19950</v>
      </c>
      <c r="P138">
        <v>23541</v>
      </c>
      <c r="Q138" s="21">
        <f>Table1[[#This Row],[סכום כולל מע"מ]]-Table1[[#This Row],[סכום לפני מעמ2]]</f>
        <v>3591</v>
      </c>
    </row>
    <row r="139" spans="2:17" hidden="1" x14ac:dyDescent="0.25">
      <c r="B139">
        <v>137</v>
      </c>
      <c r="C139" t="s">
        <v>15</v>
      </c>
      <c r="D139">
        <v>137</v>
      </c>
      <c r="E139" s="13" t="s">
        <v>299</v>
      </c>
      <c r="F139">
        <v>60471</v>
      </c>
      <c r="G139" s="7">
        <v>46022</v>
      </c>
      <c r="H139" s="2" t="s">
        <v>300</v>
      </c>
      <c r="I139" s="2" t="s">
        <v>18</v>
      </c>
      <c r="J139" s="2" t="s">
        <v>25</v>
      </c>
      <c r="L139" s="2" t="s">
        <v>20</v>
      </c>
      <c r="M139" s="14" t="s">
        <v>26</v>
      </c>
      <c r="N139" s="2" t="s">
        <v>22</v>
      </c>
      <c r="O139" s="4">
        <v>19950</v>
      </c>
      <c r="P139">
        <v>23541</v>
      </c>
      <c r="Q139" s="21">
        <f>Table1[[#This Row],[סכום כולל מע"מ]]-Table1[[#This Row],[סכום לפני מעמ2]]</f>
        <v>3591</v>
      </c>
    </row>
    <row r="140" spans="2:17" hidden="1" x14ac:dyDescent="0.25">
      <c r="B140">
        <v>138</v>
      </c>
      <c r="C140" t="s">
        <v>15</v>
      </c>
      <c r="D140">
        <v>138</v>
      </c>
      <c r="E140" s="13" t="s">
        <v>301</v>
      </c>
      <c r="F140">
        <v>60471</v>
      </c>
      <c r="G140" s="7">
        <v>46022</v>
      </c>
      <c r="H140" s="2" t="s">
        <v>302</v>
      </c>
      <c r="I140" s="2" t="s">
        <v>18</v>
      </c>
      <c r="J140" s="2" t="s">
        <v>25</v>
      </c>
      <c r="L140" s="2" t="s">
        <v>20</v>
      </c>
      <c r="M140" s="14" t="s">
        <v>26</v>
      </c>
      <c r="N140" s="2" t="s">
        <v>22</v>
      </c>
      <c r="O140" s="4">
        <v>19980</v>
      </c>
      <c r="P140">
        <v>23576.400000000001</v>
      </c>
      <c r="Q140" s="21">
        <f>Table1[[#This Row],[סכום כולל מע"מ]]-Table1[[#This Row],[סכום לפני מעמ2]]</f>
        <v>3596.4000000000015</v>
      </c>
    </row>
    <row r="141" spans="2:17" hidden="1" x14ac:dyDescent="0.25">
      <c r="B141">
        <v>139</v>
      </c>
      <c r="C141" t="s">
        <v>15</v>
      </c>
      <c r="D141">
        <v>139</v>
      </c>
      <c r="E141" s="13" t="s">
        <v>303</v>
      </c>
      <c r="F141">
        <v>60471</v>
      </c>
      <c r="G141" s="7">
        <v>46022</v>
      </c>
      <c r="H141" s="2" t="s">
        <v>304</v>
      </c>
      <c r="I141" s="2" t="s">
        <v>18</v>
      </c>
      <c r="J141" s="2" t="s">
        <v>25</v>
      </c>
      <c r="L141" s="2" t="s">
        <v>20</v>
      </c>
      <c r="M141" s="14" t="s">
        <v>26</v>
      </c>
      <c r="N141" s="2" t="s">
        <v>22</v>
      </c>
      <c r="O141" s="4">
        <v>19980</v>
      </c>
      <c r="P141">
        <v>23576.400000000001</v>
      </c>
      <c r="Q141" s="21">
        <f>Table1[[#This Row],[סכום כולל מע"מ]]-Table1[[#This Row],[סכום לפני מעמ2]]</f>
        <v>3596.4000000000015</v>
      </c>
    </row>
    <row r="142" spans="2:17" hidden="1" x14ac:dyDescent="0.25">
      <c r="B142">
        <v>140</v>
      </c>
      <c r="C142" t="s">
        <v>15</v>
      </c>
      <c r="D142">
        <v>140</v>
      </c>
      <c r="E142" s="13" t="s">
        <v>305</v>
      </c>
      <c r="F142">
        <v>60471</v>
      </c>
      <c r="G142" s="7">
        <v>46022</v>
      </c>
      <c r="H142" s="2" t="s">
        <v>306</v>
      </c>
      <c r="I142" s="2" t="s">
        <v>18</v>
      </c>
      <c r="J142" s="2" t="s">
        <v>33</v>
      </c>
      <c r="L142" s="2" t="s">
        <v>20</v>
      </c>
      <c r="M142" s="14" t="s">
        <v>34</v>
      </c>
      <c r="N142" s="2" t="s">
        <v>22</v>
      </c>
      <c r="O142" s="4">
        <v>19995</v>
      </c>
      <c r="P142">
        <v>23594.1</v>
      </c>
      <c r="Q142" s="21">
        <f>Table1[[#This Row],[סכום כולל מע"מ]]-Table1[[#This Row],[סכום לפני מעמ2]]</f>
        <v>3599.0999999999985</v>
      </c>
    </row>
    <row r="143" spans="2:17" hidden="1" x14ac:dyDescent="0.25">
      <c r="B143">
        <v>141</v>
      </c>
      <c r="C143" t="s">
        <v>15</v>
      </c>
      <c r="D143">
        <v>141</v>
      </c>
      <c r="E143" s="13" t="s">
        <v>307</v>
      </c>
      <c r="F143">
        <v>60471</v>
      </c>
      <c r="G143" s="7">
        <v>46022</v>
      </c>
      <c r="H143" s="2" t="s">
        <v>308</v>
      </c>
      <c r="I143" s="2" t="s">
        <v>18</v>
      </c>
      <c r="J143" s="2" t="s">
        <v>59</v>
      </c>
      <c r="L143" s="2" t="s">
        <v>20</v>
      </c>
      <c r="M143" s="14" t="s">
        <v>60</v>
      </c>
      <c r="N143" s="2" t="s">
        <v>22</v>
      </c>
      <c r="O143" s="4">
        <v>19970</v>
      </c>
      <c r="P143">
        <v>23564.6</v>
      </c>
      <c r="Q143" s="21">
        <f>Table1[[#This Row],[סכום כולל מע"מ]]-Table1[[#This Row],[סכום לפני מעמ2]]</f>
        <v>3594.5999999999985</v>
      </c>
    </row>
    <row r="144" spans="2:17" hidden="1" x14ac:dyDescent="0.25">
      <c r="B144">
        <v>142</v>
      </c>
      <c r="C144" t="s">
        <v>15</v>
      </c>
      <c r="D144">
        <v>142</v>
      </c>
      <c r="E144" s="13" t="s">
        <v>309</v>
      </c>
      <c r="F144">
        <v>60471</v>
      </c>
      <c r="G144" s="7">
        <v>46022</v>
      </c>
      <c r="H144" s="2" t="s">
        <v>310</v>
      </c>
      <c r="I144" s="2" t="s">
        <v>18</v>
      </c>
      <c r="J144" s="2" t="s">
        <v>25</v>
      </c>
      <c r="L144" s="2" t="s">
        <v>20</v>
      </c>
      <c r="M144" s="14" t="s">
        <v>26</v>
      </c>
      <c r="N144" s="2" t="s">
        <v>22</v>
      </c>
      <c r="O144" s="4">
        <v>19980</v>
      </c>
      <c r="P144">
        <v>23576.400000000001</v>
      </c>
      <c r="Q144" s="21">
        <f>Table1[[#This Row],[סכום כולל מע"מ]]-Table1[[#This Row],[סכום לפני מעמ2]]</f>
        <v>3596.4000000000015</v>
      </c>
    </row>
    <row r="145" spans="2:17" hidden="1" x14ac:dyDescent="0.25">
      <c r="B145">
        <v>143</v>
      </c>
      <c r="C145" t="s">
        <v>15</v>
      </c>
      <c r="D145">
        <v>143</v>
      </c>
      <c r="E145" s="13" t="s">
        <v>311</v>
      </c>
      <c r="F145">
        <v>60471</v>
      </c>
      <c r="G145" s="7">
        <v>46022</v>
      </c>
      <c r="H145" s="2" t="s">
        <v>312</v>
      </c>
      <c r="I145" s="2" t="s">
        <v>18</v>
      </c>
      <c r="J145" s="2" t="s">
        <v>59</v>
      </c>
      <c r="L145" s="2" t="s">
        <v>20</v>
      </c>
      <c r="M145" s="14" t="s">
        <v>60</v>
      </c>
      <c r="N145" s="2" t="s">
        <v>22</v>
      </c>
      <c r="O145" s="4">
        <v>19995</v>
      </c>
      <c r="P145">
        <v>23594.1</v>
      </c>
      <c r="Q145" s="21">
        <f>Table1[[#This Row],[סכום כולל מע"מ]]-Table1[[#This Row],[סכום לפני מעמ2]]</f>
        <v>3599.0999999999985</v>
      </c>
    </row>
    <row r="146" spans="2:17" hidden="1" x14ac:dyDescent="0.25">
      <c r="B146">
        <v>144</v>
      </c>
      <c r="C146" t="s">
        <v>15</v>
      </c>
      <c r="D146">
        <v>144</v>
      </c>
      <c r="E146" s="13" t="s">
        <v>313</v>
      </c>
      <c r="F146">
        <v>60471</v>
      </c>
      <c r="G146" s="7">
        <v>46022</v>
      </c>
      <c r="H146" s="2" t="s">
        <v>314</v>
      </c>
      <c r="I146" s="2" t="s">
        <v>18</v>
      </c>
      <c r="J146" s="2" t="s">
        <v>25</v>
      </c>
      <c r="L146" s="2" t="s">
        <v>20</v>
      </c>
      <c r="M146" s="14" t="s">
        <v>26</v>
      </c>
      <c r="N146" s="2" t="s">
        <v>22</v>
      </c>
      <c r="O146" s="4">
        <v>19980</v>
      </c>
      <c r="P146">
        <v>23576.400000000001</v>
      </c>
      <c r="Q146" s="21">
        <f>Table1[[#This Row],[סכום כולל מע"מ]]-Table1[[#This Row],[סכום לפני מעמ2]]</f>
        <v>3596.4000000000015</v>
      </c>
    </row>
    <row r="147" spans="2:17" hidden="1" x14ac:dyDescent="0.25">
      <c r="B147">
        <v>145</v>
      </c>
      <c r="C147" t="s">
        <v>15</v>
      </c>
      <c r="D147">
        <v>145</v>
      </c>
      <c r="E147" s="13" t="s">
        <v>315</v>
      </c>
      <c r="F147">
        <v>60471</v>
      </c>
      <c r="G147" s="7">
        <v>46022</v>
      </c>
      <c r="H147" s="2" t="s">
        <v>316</v>
      </c>
      <c r="I147" s="2" t="s">
        <v>18</v>
      </c>
      <c r="J147" s="2" t="s">
        <v>25</v>
      </c>
      <c r="L147" s="2" t="s">
        <v>20</v>
      </c>
      <c r="M147" s="14" t="s">
        <v>26</v>
      </c>
      <c r="N147" s="2" t="s">
        <v>22</v>
      </c>
      <c r="O147" s="4">
        <v>19950</v>
      </c>
      <c r="P147">
        <v>23541</v>
      </c>
      <c r="Q147" s="21">
        <f>Table1[[#This Row],[סכום כולל מע"מ]]-Table1[[#This Row],[סכום לפני מעמ2]]</f>
        <v>3591</v>
      </c>
    </row>
    <row r="148" spans="2:17" x14ac:dyDescent="0.25">
      <c r="B148">
        <v>146</v>
      </c>
      <c r="C148" t="s">
        <v>15</v>
      </c>
      <c r="D148">
        <v>146</v>
      </c>
      <c r="E148" s="13" t="s">
        <v>317</v>
      </c>
      <c r="F148">
        <v>60471</v>
      </c>
      <c r="G148" s="7">
        <v>46022</v>
      </c>
      <c r="H148" s="2" t="s">
        <v>318</v>
      </c>
      <c r="I148" s="2" t="s">
        <v>18</v>
      </c>
      <c r="J148" s="2" t="s">
        <v>25</v>
      </c>
      <c r="L148" s="2" t="s">
        <v>20</v>
      </c>
      <c r="M148" s="14" t="s">
        <v>26</v>
      </c>
      <c r="N148" s="2" t="s">
        <v>22</v>
      </c>
      <c r="O148" s="4">
        <v>1530</v>
      </c>
      <c r="P148">
        <v>1805.4</v>
      </c>
      <c r="Q148" s="21">
        <f>Table1[[#This Row],[סכום כולל מע"מ]]-Table1[[#This Row],[סכום לפני מעמ2]]</f>
        <v>275.40000000000009</v>
      </c>
    </row>
    <row r="149" spans="2:17" hidden="1" x14ac:dyDescent="0.25">
      <c r="B149">
        <v>147</v>
      </c>
      <c r="C149" t="s">
        <v>15</v>
      </c>
      <c r="D149">
        <v>147</v>
      </c>
      <c r="E149" s="13" t="s">
        <v>319</v>
      </c>
      <c r="F149">
        <v>60471</v>
      </c>
      <c r="G149" s="7">
        <v>46022</v>
      </c>
      <c r="H149" s="2" t="s">
        <v>320</v>
      </c>
      <c r="I149" s="2" t="s">
        <v>18</v>
      </c>
      <c r="J149" s="2" t="s">
        <v>59</v>
      </c>
      <c r="L149" s="2" t="s">
        <v>20</v>
      </c>
      <c r="M149" s="14" t="s">
        <v>60</v>
      </c>
      <c r="N149" s="2" t="s">
        <v>22</v>
      </c>
      <c r="O149" s="4">
        <v>19995</v>
      </c>
      <c r="P149">
        <v>23594.1</v>
      </c>
      <c r="Q149" s="21">
        <f>Table1[[#This Row],[סכום כולל מע"מ]]-Table1[[#This Row],[סכום לפני מעמ2]]</f>
        <v>3599.0999999999985</v>
      </c>
    </row>
    <row r="150" spans="2:17" hidden="1" x14ac:dyDescent="0.25">
      <c r="B150">
        <v>148</v>
      </c>
      <c r="C150" t="s">
        <v>15</v>
      </c>
      <c r="D150">
        <v>148</v>
      </c>
      <c r="E150" s="13" t="s">
        <v>321</v>
      </c>
      <c r="F150">
        <v>60471</v>
      </c>
      <c r="G150" s="7">
        <v>46022</v>
      </c>
      <c r="H150" s="2" t="s">
        <v>322</v>
      </c>
      <c r="I150" s="2" t="s">
        <v>18</v>
      </c>
      <c r="J150" s="2" t="s">
        <v>59</v>
      </c>
      <c r="L150" s="2" t="s">
        <v>20</v>
      </c>
      <c r="M150" s="14" t="s">
        <v>60</v>
      </c>
      <c r="N150" s="2" t="s">
        <v>22</v>
      </c>
      <c r="O150" s="4">
        <v>19970</v>
      </c>
      <c r="P150">
        <v>23564.6</v>
      </c>
      <c r="Q150" s="21">
        <f>Table1[[#This Row],[סכום כולל מע"מ]]-Table1[[#This Row],[סכום לפני מעמ2]]</f>
        <v>3594.5999999999985</v>
      </c>
    </row>
    <row r="151" spans="2:17" hidden="1" x14ac:dyDescent="0.25">
      <c r="B151">
        <v>149</v>
      </c>
      <c r="C151" t="s">
        <v>15</v>
      </c>
      <c r="D151">
        <v>149</v>
      </c>
      <c r="E151" s="13" t="s">
        <v>323</v>
      </c>
      <c r="F151">
        <v>60471</v>
      </c>
      <c r="G151" s="7">
        <v>46022</v>
      </c>
      <c r="H151" s="2" t="s">
        <v>324</v>
      </c>
      <c r="I151" s="2" t="s">
        <v>18</v>
      </c>
      <c r="J151" s="2" t="s">
        <v>25</v>
      </c>
      <c r="L151" s="2" t="s">
        <v>20</v>
      </c>
      <c r="M151" s="14" t="s">
        <v>26</v>
      </c>
      <c r="N151" s="2" t="s">
        <v>22</v>
      </c>
      <c r="O151" s="4">
        <v>19950</v>
      </c>
      <c r="P151">
        <v>23541</v>
      </c>
      <c r="Q151" s="21">
        <f>Table1[[#This Row],[סכום כולל מע"מ]]-Table1[[#This Row],[סכום לפני מעמ2]]</f>
        <v>3591</v>
      </c>
    </row>
    <row r="152" spans="2:17" hidden="1" x14ac:dyDescent="0.25">
      <c r="B152">
        <v>150</v>
      </c>
      <c r="C152" t="s">
        <v>15</v>
      </c>
      <c r="D152">
        <v>150</v>
      </c>
      <c r="E152" s="13" t="s">
        <v>325</v>
      </c>
      <c r="F152">
        <v>60471</v>
      </c>
      <c r="G152" s="7">
        <v>46022</v>
      </c>
      <c r="H152" s="2" t="s">
        <v>326</v>
      </c>
      <c r="I152" s="2" t="s">
        <v>18</v>
      </c>
      <c r="J152" s="2" t="s">
        <v>19</v>
      </c>
      <c r="L152" s="2" t="s">
        <v>20</v>
      </c>
      <c r="M152" s="14" t="s">
        <v>21</v>
      </c>
      <c r="N152" s="2" t="s">
        <v>22</v>
      </c>
      <c r="O152" s="4">
        <v>19950</v>
      </c>
      <c r="P152">
        <v>23541</v>
      </c>
      <c r="Q152" s="21">
        <f>Table1[[#This Row],[סכום כולל מע"מ]]-Table1[[#This Row],[סכום לפני מעמ2]]</f>
        <v>3591</v>
      </c>
    </row>
    <row r="153" spans="2:17" hidden="1" x14ac:dyDescent="0.25">
      <c r="B153">
        <v>151</v>
      </c>
      <c r="C153" t="s">
        <v>15</v>
      </c>
      <c r="D153">
        <v>151</v>
      </c>
      <c r="E153" s="13" t="s">
        <v>327</v>
      </c>
      <c r="F153">
        <v>60471</v>
      </c>
      <c r="G153" s="7">
        <v>46022</v>
      </c>
      <c r="H153" s="2" t="s">
        <v>328</v>
      </c>
      <c r="I153" s="2" t="s">
        <v>18</v>
      </c>
      <c r="J153" s="2" t="s">
        <v>59</v>
      </c>
      <c r="L153" s="2" t="s">
        <v>20</v>
      </c>
      <c r="M153" s="14" t="s">
        <v>60</v>
      </c>
      <c r="N153" s="2" t="s">
        <v>22</v>
      </c>
      <c r="O153" s="4">
        <v>19970</v>
      </c>
      <c r="P153">
        <v>23564.6</v>
      </c>
      <c r="Q153" s="21">
        <f>Table1[[#This Row],[סכום כולל מע"מ]]-Table1[[#This Row],[סכום לפני מעמ2]]</f>
        <v>3594.5999999999985</v>
      </c>
    </row>
    <row r="154" spans="2:17" hidden="1" x14ac:dyDescent="0.25">
      <c r="B154">
        <v>152</v>
      </c>
      <c r="C154" t="s">
        <v>15</v>
      </c>
      <c r="D154">
        <v>152</v>
      </c>
      <c r="E154" s="13" t="s">
        <v>329</v>
      </c>
      <c r="F154">
        <v>60471</v>
      </c>
      <c r="G154" s="7">
        <v>46022</v>
      </c>
      <c r="H154" s="2" t="s">
        <v>330</v>
      </c>
      <c r="I154" s="2" t="s">
        <v>18</v>
      </c>
      <c r="J154" s="2" t="s">
        <v>25</v>
      </c>
      <c r="L154" s="2" t="s">
        <v>20</v>
      </c>
      <c r="M154" s="14" t="s">
        <v>26</v>
      </c>
      <c r="N154" s="2" t="s">
        <v>22</v>
      </c>
      <c r="O154" s="4">
        <v>19950</v>
      </c>
      <c r="P154">
        <v>23541</v>
      </c>
      <c r="Q154" s="21">
        <f>Table1[[#This Row],[סכום כולל מע"מ]]-Table1[[#This Row],[סכום לפני מעמ2]]</f>
        <v>3591</v>
      </c>
    </row>
    <row r="155" spans="2:17" hidden="1" x14ac:dyDescent="0.25">
      <c r="B155">
        <v>153</v>
      </c>
      <c r="C155" t="s">
        <v>15</v>
      </c>
      <c r="D155">
        <v>153</v>
      </c>
      <c r="E155" s="13" t="s">
        <v>331</v>
      </c>
      <c r="F155">
        <v>60471</v>
      </c>
      <c r="G155" s="7">
        <v>46022</v>
      </c>
      <c r="H155" s="2" t="s">
        <v>332</v>
      </c>
      <c r="I155" s="2" t="s">
        <v>18</v>
      </c>
      <c r="J155" s="2" t="s">
        <v>25</v>
      </c>
      <c r="L155" s="2" t="s">
        <v>20</v>
      </c>
      <c r="M155" s="14" t="s">
        <v>26</v>
      </c>
      <c r="N155" s="2" t="s">
        <v>22</v>
      </c>
      <c r="O155" s="4">
        <v>19980</v>
      </c>
      <c r="P155">
        <v>23576.400000000001</v>
      </c>
      <c r="Q155" s="21">
        <f>Table1[[#This Row],[סכום כולל מע"מ]]-Table1[[#This Row],[סכום לפני מעמ2]]</f>
        <v>3596.4000000000015</v>
      </c>
    </row>
    <row r="156" spans="2:17" hidden="1" x14ac:dyDescent="0.25">
      <c r="B156">
        <v>154</v>
      </c>
      <c r="C156" t="s">
        <v>15</v>
      </c>
      <c r="D156">
        <v>154</v>
      </c>
      <c r="E156" s="13" t="s">
        <v>333</v>
      </c>
      <c r="F156">
        <v>60471</v>
      </c>
      <c r="G156" s="7">
        <v>46022</v>
      </c>
      <c r="H156" s="2" t="s">
        <v>334</v>
      </c>
      <c r="I156" s="2" t="s">
        <v>18</v>
      </c>
      <c r="J156" s="2" t="s">
        <v>19</v>
      </c>
      <c r="L156" s="2" t="s">
        <v>20</v>
      </c>
      <c r="M156" s="14" t="s">
        <v>21</v>
      </c>
      <c r="N156" s="2" t="s">
        <v>22</v>
      </c>
      <c r="O156" s="4">
        <v>19995</v>
      </c>
      <c r="P156">
        <v>23594.1</v>
      </c>
      <c r="Q156" s="21">
        <f>Table1[[#This Row],[סכום כולל מע"מ]]-Table1[[#This Row],[סכום לפני מעמ2]]</f>
        <v>3599.0999999999985</v>
      </c>
    </row>
    <row r="157" spans="2:17" x14ac:dyDescent="0.25">
      <c r="B157">
        <v>155</v>
      </c>
      <c r="C157" t="s">
        <v>15</v>
      </c>
      <c r="D157">
        <v>155</v>
      </c>
      <c r="E157" s="13" t="s">
        <v>335</v>
      </c>
      <c r="F157">
        <v>60471</v>
      </c>
      <c r="G157" s="7">
        <v>46022</v>
      </c>
      <c r="H157" s="2" t="s">
        <v>336</v>
      </c>
      <c r="I157" s="2" t="s">
        <v>18</v>
      </c>
      <c r="J157" s="2" t="s">
        <v>25</v>
      </c>
      <c r="L157" s="2" t="s">
        <v>20</v>
      </c>
      <c r="M157" s="14" t="s">
        <v>26</v>
      </c>
      <c r="N157" s="2" t="s">
        <v>22</v>
      </c>
      <c r="O157" s="4">
        <v>1530</v>
      </c>
      <c r="P157">
        <v>1805.4</v>
      </c>
      <c r="Q157" s="21">
        <f>Table1[[#This Row],[סכום כולל מע"מ]]-Table1[[#This Row],[סכום לפני מעמ2]]</f>
        <v>275.40000000000009</v>
      </c>
    </row>
    <row r="158" spans="2:17" hidden="1" x14ac:dyDescent="0.25">
      <c r="B158">
        <v>156</v>
      </c>
      <c r="C158" t="s">
        <v>15</v>
      </c>
      <c r="D158">
        <v>156</v>
      </c>
      <c r="E158" s="13" t="s">
        <v>337</v>
      </c>
      <c r="F158">
        <v>60471</v>
      </c>
      <c r="G158" s="7">
        <v>46022</v>
      </c>
      <c r="H158" s="2" t="s">
        <v>338</v>
      </c>
      <c r="I158" s="2" t="s">
        <v>18</v>
      </c>
      <c r="J158" s="2" t="s">
        <v>25</v>
      </c>
      <c r="L158" s="2" t="s">
        <v>20</v>
      </c>
      <c r="M158" s="14" t="s">
        <v>26</v>
      </c>
      <c r="N158" s="2" t="s">
        <v>22</v>
      </c>
      <c r="O158" s="4">
        <v>19950</v>
      </c>
      <c r="P158">
        <v>23541</v>
      </c>
      <c r="Q158" s="21">
        <f>Table1[[#This Row],[סכום כולל מע"מ]]-Table1[[#This Row],[סכום לפני מעמ2]]</f>
        <v>3591</v>
      </c>
    </row>
    <row r="159" spans="2:17" hidden="1" x14ac:dyDescent="0.25">
      <c r="B159">
        <v>157</v>
      </c>
      <c r="C159" t="s">
        <v>15</v>
      </c>
      <c r="D159">
        <v>157</v>
      </c>
      <c r="E159" s="13" t="s">
        <v>339</v>
      </c>
      <c r="F159">
        <v>60471</v>
      </c>
      <c r="G159" s="7">
        <v>46022</v>
      </c>
      <c r="H159" s="2" t="s">
        <v>340</v>
      </c>
      <c r="I159" s="2" t="s">
        <v>18</v>
      </c>
      <c r="J159" s="2" t="s">
        <v>25</v>
      </c>
      <c r="L159" s="2" t="s">
        <v>20</v>
      </c>
      <c r="M159" s="14" t="s">
        <v>26</v>
      </c>
      <c r="N159" s="2" t="s">
        <v>22</v>
      </c>
      <c r="O159" s="4">
        <v>19950</v>
      </c>
      <c r="P159">
        <v>23541</v>
      </c>
      <c r="Q159" s="21">
        <f>Table1[[#This Row],[סכום כולל מע"מ]]-Table1[[#This Row],[סכום לפני מעמ2]]</f>
        <v>3591</v>
      </c>
    </row>
    <row r="160" spans="2:17" hidden="1" x14ac:dyDescent="0.25">
      <c r="B160">
        <v>158</v>
      </c>
      <c r="C160" t="s">
        <v>15</v>
      </c>
      <c r="D160">
        <v>158</v>
      </c>
      <c r="E160" s="13" t="s">
        <v>341</v>
      </c>
      <c r="F160">
        <v>60471</v>
      </c>
      <c r="G160" s="7">
        <v>46022</v>
      </c>
      <c r="H160" s="2" t="s">
        <v>342</v>
      </c>
      <c r="I160" s="2" t="s">
        <v>18</v>
      </c>
      <c r="J160" s="2" t="s">
        <v>19</v>
      </c>
      <c r="L160" s="2" t="s">
        <v>20</v>
      </c>
      <c r="M160" s="14" t="s">
        <v>21</v>
      </c>
      <c r="N160" s="2" t="s">
        <v>22</v>
      </c>
      <c r="O160" s="4">
        <v>19950</v>
      </c>
      <c r="P160">
        <v>23541</v>
      </c>
      <c r="Q160" s="21">
        <f>Table1[[#This Row],[סכום כולל מע"מ]]-Table1[[#This Row],[סכום לפני מעמ2]]</f>
        <v>3591</v>
      </c>
    </row>
    <row r="161" spans="2:17" hidden="1" x14ac:dyDescent="0.25">
      <c r="B161">
        <v>159</v>
      </c>
      <c r="C161" t="s">
        <v>15</v>
      </c>
      <c r="D161">
        <v>159</v>
      </c>
      <c r="E161" s="13" t="s">
        <v>343</v>
      </c>
      <c r="F161">
        <v>60471</v>
      </c>
      <c r="G161" s="7">
        <v>46022</v>
      </c>
      <c r="H161" s="2" t="s">
        <v>344</v>
      </c>
      <c r="I161" s="2" t="s">
        <v>18</v>
      </c>
      <c r="J161" s="2" t="s">
        <v>19</v>
      </c>
      <c r="L161" s="2" t="s">
        <v>20</v>
      </c>
      <c r="M161" s="14" t="s">
        <v>21</v>
      </c>
      <c r="N161" s="2" t="s">
        <v>22</v>
      </c>
      <c r="O161" s="4">
        <v>19950</v>
      </c>
      <c r="P161">
        <v>23541</v>
      </c>
      <c r="Q161" s="21">
        <f>Table1[[#This Row],[סכום כולל מע"מ]]-Table1[[#This Row],[סכום לפני מעמ2]]</f>
        <v>3591</v>
      </c>
    </row>
    <row r="162" spans="2:17" hidden="1" x14ac:dyDescent="0.25">
      <c r="B162">
        <v>160</v>
      </c>
      <c r="C162" t="s">
        <v>15</v>
      </c>
      <c r="D162">
        <v>160</v>
      </c>
      <c r="E162" s="13" t="s">
        <v>345</v>
      </c>
      <c r="F162">
        <v>60471</v>
      </c>
      <c r="G162" s="7">
        <v>46022</v>
      </c>
      <c r="H162" s="2" t="s">
        <v>346</v>
      </c>
      <c r="I162" s="2" t="s">
        <v>18</v>
      </c>
      <c r="J162" s="2" t="s">
        <v>25</v>
      </c>
      <c r="L162" s="2" t="s">
        <v>20</v>
      </c>
      <c r="M162" s="14" t="s">
        <v>26</v>
      </c>
      <c r="N162" s="2" t="s">
        <v>22</v>
      </c>
      <c r="O162" s="4">
        <v>19950</v>
      </c>
      <c r="P162">
        <v>23541</v>
      </c>
      <c r="Q162" s="21">
        <f>Table1[[#This Row],[סכום כולל מע"מ]]-Table1[[#This Row],[סכום לפני מעמ2]]</f>
        <v>3591</v>
      </c>
    </row>
    <row r="163" spans="2:17" hidden="1" x14ac:dyDescent="0.25">
      <c r="B163">
        <v>161</v>
      </c>
      <c r="C163" t="s">
        <v>15</v>
      </c>
      <c r="D163">
        <v>161</v>
      </c>
      <c r="E163" s="13" t="s">
        <v>347</v>
      </c>
      <c r="F163">
        <v>60471</v>
      </c>
      <c r="G163" s="7">
        <v>46022</v>
      </c>
      <c r="H163" s="2" t="s">
        <v>348</v>
      </c>
      <c r="I163" s="2" t="s">
        <v>18</v>
      </c>
      <c r="J163" s="2" t="s">
        <v>25</v>
      </c>
      <c r="L163" s="2" t="s">
        <v>20</v>
      </c>
      <c r="M163" s="14" t="s">
        <v>26</v>
      </c>
      <c r="N163" s="2" t="s">
        <v>22</v>
      </c>
      <c r="O163" s="4">
        <v>19950</v>
      </c>
      <c r="P163">
        <v>23541</v>
      </c>
      <c r="Q163" s="21">
        <f>Table1[[#This Row],[סכום כולל מע"מ]]-Table1[[#This Row],[סכום לפני מעמ2]]</f>
        <v>3591</v>
      </c>
    </row>
    <row r="164" spans="2:17" hidden="1" x14ac:dyDescent="0.25">
      <c r="B164">
        <v>162</v>
      </c>
      <c r="C164" t="s">
        <v>15</v>
      </c>
      <c r="D164">
        <v>162</v>
      </c>
      <c r="E164" s="13" t="s">
        <v>349</v>
      </c>
      <c r="F164">
        <v>60471</v>
      </c>
      <c r="G164" s="7">
        <v>46022</v>
      </c>
      <c r="H164" s="2" t="s">
        <v>350</v>
      </c>
      <c r="I164" s="2" t="s">
        <v>18</v>
      </c>
      <c r="J164" s="2" t="s">
        <v>19</v>
      </c>
      <c r="L164" s="2" t="s">
        <v>20</v>
      </c>
      <c r="M164" s="14" t="s">
        <v>21</v>
      </c>
      <c r="N164" s="2" t="s">
        <v>22</v>
      </c>
      <c r="O164" s="4">
        <v>19950</v>
      </c>
      <c r="P164">
        <v>23541</v>
      </c>
      <c r="Q164" s="21">
        <f>Table1[[#This Row],[סכום כולל מע"מ]]-Table1[[#This Row],[סכום לפני מעמ2]]</f>
        <v>3591</v>
      </c>
    </row>
    <row r="165" spans="2:17" hidden="1" x14ac:dyDescent="0.25">
      <c r="B165">
        <v>163</v>
      </c>
      <c r="C165" t="s">
        <v>15</v>
      </c>
      <c r="D165">
        <v>163</v>
      </c>
      <c r="E165" s="13" t="s">
        <v>351</v>
      </c>
      <c r="F165">
        <v>60471</v>
      </c>
      <c r="G165" s="7">
        <v>46022</v>
      </c>
      <c r="H165" s="2" t="s">
        <v>352</v>
      </c>
      <c r="I165" s="2" t="s">
        <v>18</v>
      </c>
      <c r="J165" s="2" t="s">
        <v>25</v>
      </c>
      <c r="L165" s="2" t="s">
        <v>20</v>
      </c>
      <c r="M165" s="14" t="s">
        <v>26</v>
      </c>
      <c r="N165" s="2" t="s">
        <v>22</v>
      </c>
      <c r="O165" s="4">
        <v>19950</v>
      </c>
      <c r="P165">
        <v>23541</v>
      </c>
      <c r="Q165" s="21">
        <f>Table1[[#This Row],[סכום כולל מע"מ]]-Table1[[#This Row],[סכום לפני מעמ2]]</f>
        <v>3591</v>
      </c>
    </row>
    <row r="166" spans="2:17" hidden="1" x14ac:dyDescent="0.25">
      <c r="B166">
        <v>164</v>
      </c>
      <c r="C166" t="s">
        <v>15</v>
      </c>
      <c r="D166">
        <v>164</v>
      </c>
      <c r="E166" s="13" t="s">
        <v>353</v>
      </c>
      <c r="F166">
        <v>60471</v>
      </c>
      <c r="G166" s="7">
        <v>46022</v>
      </c>
      <c r="H166" s="2" t="s">
        <v>354</v>
      </c>
      <c r="I166" s="2" t="s">
        <v>18</v>
      </c>
      <c r="J166" s="2" t="s">
        <v>59</v>
      </c>
      <c r="L166" s="2" t="s">
        <v>20</v>
      </c>
      <c r="M166" s="14" t="s">
        <v>60</v>
      </c>
      <c r="N166" s="2" t="s">
        <v>22</v>
      </c>
      <c r="O166" s="4">
        <v>19995</v>
      </c>
      <c r="P166">
        <v>23594.1</v>
      </c>
      <c r="Q166" s="21">
        <f>Table1[[#This Row],[סכום כולל מע"מ]]-Table1[[#This Row],[סכום לפני מעמ2]]</f>
        <v>3599.0999999999985</v>
      </c>
    </row>
    <row r="167" spans="2:17" hidden="1" x14ac:dyDescent="0.25">
      <c r="B167">
        <v>165</v>
      </c>
      <c r="C167" t="s">
        <v>15</v>
      </c>
      <c r="D167">
        <v>165</v>
      </c>
      <c r="E167" s="13" t="s">
        <v>355</v>
      </c>
      <c r="F167">
        <v>60471</v>
      </c>
      <c r="G167" s="7">
        <v>46022</v>
      </c>
      <c r="H167" s="2" t="s">
        <v>356</v>
      </c>
      <c r="I167" s="2" t="s">
        <v>18</v>
      </c>
      <c r="J167" s="2" t="s">
        <v>19</v>
      </c>
      <c r="L167" s="2" t="s">
        <v>20</v>
      </c>
      <c r="M167" s="14" t="s">
        <v>21</v>
      </c>
      <c r="N167" s="2" t="s">
        <v>22</v>
      </c>
      <c r="O167" s="4">
        <v>19950</v>
      </c>
      <c r="P167">
        <v>23541</v>
      </c>
      <c r="Q167" s="21">
        <f>Table1[[#This Row],[סכום כולל מע"מ]]-Table1[[#This Row],[סכום לפני מעמ2]]</f>
        <v>3591</v>
      </c>
    </row>
    <row r="168" spans="2:17" x14ac:dyDescent="0.25">
      <c r="B168">
        <v>166</v>
      </c>
      <c r="C168" t="s">
        <v>15</v>
      </c>
      <c r="D168">
        <v>166</v>
      </c>
      <c r="E168" s="13" t="s">
        <v>357</v>
      </c>
      <c r="F168">
        <v>60471</v>
      </c>
      <c r="G168" s="7">
        <v>46022</v>
      </c>
      <c r="H168" s="2" t="s">
        <v>358</v>
      </c>
      <c r="I168" s="2" t="s">
        <v>18</v>
      </c>
      <c r="J168" s="2" t="s">
        <v>19</v>
      </c>
      <c r="L168" s="2" t="s">
        <v>20</v>
      </c>
      <c r="M168" s="14" t="s">
        <v>21</v>
      </c>
      <c r="N168" s="2" t="s">
        <v>22</v>
      </c>
      <c r="O168" s="4">
        <v>7533.14</v>
      </c>
      <c r="P168">
        <v>8889.11</v>
      </c>
      <c r="Q168" s="21">
        <f>Table1[[#This Row],[סכום כולל מע"מ]]-Table1[[#This Row],[סכום לפני מעמ2]]</f>
        <v>1355.9700000000003</v>
      </c>
    </row>
    <row r="169" spans="2:17" hidden="1" x14ac:dyDescent="0.25">
      <c r="B169">
        <v>167</v>
      </c>
      <c r="C169" t="s">
        <v>15</v>
      </c>
      <c r="D169">
        <v>167</v>
      </c>
      <c r="E169" s="13" t="s">
        <v>359</v>
      </c>
      <c r="F169">
        <v>60471</v>
      </c>
      <c r="G169" s="7">
        <v>46022</v>
      </c>
      <c r="H169" s="2" t="s">
        <v>360</v>
      </c>
      <c r="I169" s="2" t="s">
        <v>18</v>
      </c>
      <c r="J169" s="2" t="s">
        <v>25</v>
      </c>
      <c r="L169" s="2" t="s">
        <v>20</v>
      </c>
      <c r="M169" s="14" t="s">
        <v>26</v>
      </c>
      <c r="N169" s="2" t="s">
        <v>22</v>
      </c>
      <c r="O169" s="4">
        <v>19950</v>
      </c>
      <c r="P169">
        <v>23541</v>
      </c>
      <c r="Q169" s="21">
        <f>Table1[[#This Row],[סכום כולל מע"מ]]-Table1[[#This Row],[סכום לפני מעמ2]]</f>
        <v>3591</v>
      </c>
    </row>
    <row r="170" spans="2:17" hidden="1" x14ac:dyDescent="0.25">
      <c r="B170">
        <v>168</v>
      </c>
      <c r="C170" t="s">
        <v>15</v>
      </c>
      <c r="D170">
        <v>168</v>
      </c>
      <c r="E170" s="13" t="s">
        <v>361</v>
      </c>
      <c r="F170">
        <v>60471</v>
      </c>
      <c r="G170" s="7">
        <v>46022</v>
      </c>
      <c r="H170" s="2" t="s">
        <v>362</v>
      </c>
      <c r="I170" s="2" t="s">
        <v>18</v>
      </c>
      <c r="J170" s="2" t="s">
        <v>59</v>
      </c>
      <c r="L170" s="2" t="s">
        <v>20</v>
      </c>
      <c r="M170" s="14" t="s">
        <v>60</v>
      </c>
      <c r="N170" s="2" t="s">
        <v>22</v>
      </c>
      <c r="O170" s="4">
        <v>19995</v>
      </c>
      <c r="P170">
        <v>23594.1</v>
      </c>
      <c r="Q170" s="21">
        <f>Table1[[#This Row],[סכום כולל מע"מ]]-Table1[[#This Row],[סכום לפני מעמ2]]</f>
        <v>3599.0999999999985</v>
      </c>
    </row>
    <row r="171" spans="2:17" hidden="1" x14ac:dyDescent="0.25">
      <c r="B171">
        <v>169</v>
      </c>
      <c r="C171" t="s">
        <v>15</v>
      </c>
      <c r="D171">
        <v>169</v>
      </c>
      <c r="E171" s="13" t="s">
        <v>363</v>
      </c>
      <c r="F171">
        <v>60471</v>
      </c>
      <c r="G171" s="7">
        <v>46022</v>
      </c>
      <c r="H171" s="2" t="s">
        <v>364</v>
      </c>
      <c r="I171" s="2" t="s">
        <v>18</v>
      </c>
      <c r="J171" s="2" t="s">
        <v>25</v>
      </c>
      <c r="L171" s="2" t="s">
        <v>20</v>
      </c>
      <c r="M171" s="14" t="s">
        <v>26</v>
      </c>
      <c r="N171" s="2" t="s">
        <v>22</v>
      </c>
      <c r="O171" s="4">
        <v>19950</v>
      </c>
      <c r="P171">
        <v>23541</v>
      </c>
      <c r="Q171" s="21">
        <f>Table1[[#This Row],[סכום כולל מע"מ]]-Table1[[#This Row],[סכום לפני מעמ2]]</f>
        <v>3591</v>
      </c>
    </row>
    <row r="172" spans="2:17" hidden="1" x14ac:dyDescent="0.25">
      <c r="B172">
        <v>170</v>
      </c>
      <c r="C172" t="s">
        <v>15</v>
      </c>
      <c r="D172">
        <v>170</v>
      </c>
      <c r="E172" s="13" t="s">
        <v>365</v>
      </c>
      <c r="F172">
        <v>60471</v>
      </c>
      <c r="G172" s="7">
        <v>46022</v>
      </c>
      <c r="H172" s="2" t="s">
        <v>366</v>
      </c>
      <c r="I172" s="2" t="s">
        <v>18</v>
      </c>
      <c r="J172" s="2" t="s">
        <v>25</v>
      </c>
      <c r="L172" s="2" t="s">
        <v>20</v>
      </c>
      <c r="M172" s="14" t="s">
        <v>26</v>
      </c>
      <c r="N172" s="2" t="s">
        <v>22</v>
      </c>
      <c r="O172" s="4">
        <v>19950</v>
      </c>
      <c r="P172">
        <v>23541</v>
      </c>
      <c r="Q172" s="21">
        <f>Table1[[#This Row],[סכום כולל מע"מ]]-Table1[[#This Row],[סכום לפני מעמ2]]</f>
        <v>3591</v>
      </c>
    </row>
    <row r="173" spans="2:17" hidden="1" x14ac:dyDescent="0.25">
      <c r="B173">
        <v>171</v>
      </c>
      <c r="C173" t="s">
        <v>15</v>
      </c>
      <c r="D173">
        <v>171</v>
      </c>
      <c r="E173" s="13" t="s">
        <v>367</v>
      </c>
      <c r="F173">
        <v>60471</v>
      </c>
      <c r="G173" s="7">
        <v>46022</v>
      </c>
      <c r="H173" s="2" t="s">
        <v>368</v>
      </c>
      <c r="I173" s="2" t="s">
        <v>18</v>
      </c>
      <c r="J173" s="2" t="s">
        <v>19</v>
      </c>
      <c r="L173" s="2" t="s">
        <v>20</v>
      </c>
      <c r="M173" s="14" t="s">
        <v>21</v>
      </c>
      <c r="N173" s="2" t="s">
        <v>22</v>
      </c>
      <c r="O173" s="4">
        <v>19950</v>
      </c>
      <c r="P173">
        <v>23541</v>
      </c>
      <c r="Q173" s="21">
        <f>Table1[[#This Row],[סכום כולל מע"מ]]-Table1[[#This Row],[סכום לפני מעמ2]]</f>
        <v>3591</v>
      </c>
    </row>
    <row r="174" spans="2:17" hidden="1" x14ac:dyDescent="0.25">
      <c r="B174">
        <v>172</v>
      </c>
      <c r="C174" t="s">
        <v>15</v>
      </c>
      <c r="D174">
        <v>172</v>
      </c>
      <c r="E174" s="13" t="s">
        <v>369</v>
      </c>
      <c r="F174">
        <v>60471</v>
      </c>
      <c r="G174" s="7">
        <v>46022</v>
      </c>
      <c r="H174" s="2" t="s">
        <v>370</v>
      </c>
      <c r="I174" s="2" t="s">
        <v>18</v>
      </c>
      <c r="J174" s="2" t="s">
        <v>25</v>
      </c>
      <c r="L174" s="2" t="s">
        <v>20</v>
      </c>
      <c r="M174" s="14" t="s">
        <v>26</v>
      </c>
      <c r="N174" s="2" t="s">
        <v>22</v>
      </c>
      <c r="O174" s="4">
        <v>19950</v>
      </c>
      <c r="P174">
        <v>23541</v>
      </c>
      <c r="Q174" s="21">
        <f>Table1[[#This Row],[סכום כולל מע"מ]]-Table1[[#This Row],[סכום לפני מעמ2]]</f>
        <v>3591</v>
      </c>
    </row>
    <row r="175" spans="2:17" x14ac:dyDescent="0.25">
      <c r="B175">
        <v>173</v>
      </c>
      <c r="C175" t="s">
        <v>15</v>
      </c>
      <c r="D175">
        <v>173</v>
      </c>
      <c r="E175" s="13" t="s">
        <v>371</v>
      </c>
      <c r="F175">
        <v>60471</v>
      </c>
      <c r="G175" s="7">
        <v>46022</v>
      </c>
      <c r="H175" s="2" t="s">
        <v>372</v>
      </c>
      <c r="I175" s="2" t="s">
        <v>18</v>
      </c>
      <c r="J175" s="2" t="s">
        <v>25</v>
      </c>
      <c r="L175" s="2" t="s">
        <v>20</v>
      </c>
      <c r="M175" s="14" t="s">
        <v>26</v>
      </c>
      <c r="N175" s="2" t="s">
        <v>22</v>
      </c>
      <c r="O175" s="4">
        <v>1530</v>
      </c>
      <c r="P175">
        <v>1805.4</v>
      </c>
      <c r="Q175" s="21">
        <f>Table1[[#This Row],[סכום כולל מע"מ]]-Table1[[#This Row],[סכום לפני מעמ2]]</f>
        <v>275.40000000000009</v>
      </c>
    </row>
    <row r="176" spans="2:17" hidden="1" x14ac:dyDescent="0.25">
      <c r="B176">
        <v>174</v>
      </c>
      <c r="C176" t="s">
        <v>15</v>
      </c>
      <c r="D176">
        <v>174</v>
      </c>
      <c r="E176" s="13" t="s">
        <v>373</v>
      </c>
      <c r="F176">
        <v>60471</v>
      </c>
      <c r="G176" s="7">
        <v>46022</v>
      </c>
      <c r="H176" s="2" t="s">
        <v>374</v>
      </c>
      <c r="I176" s="2" t="s">
        <v>18</v>
      </c>
      <c r="J176" s="2" t="s">
        <v>25</v>
      </c>
      <c r="L176" s="2" t="s">
        <v>20</v>
      </c>
      <c r="M176" s="14" t="s">
        <v>26</v>
      </c>
      <c r="N176" s="2" t="s">
        <v>22</v>
      </c>
      <c r="O176" s="4">
        <v>19950</v>
      </c>
      <c r="P176">
        <v>23541</v>
      </c>
      <c r="Q176" s="21">
        <f>Table1[[#This Row],[סכום כולל מע"מ]]-Table1[[#This Row],[סכום לפני מעמ2]]</f>
        <v>3591</v>
      </c>
    </row>
    <row r="177" spans="2:17" hidden="1" x14ac:dyDescent="0.25">
      <c r="B177">
        <v>175</v>
      </c>
      <c r="C177" t="s">
        <v>15</v>
      </c>
      <c r="D177">
        <v>175</v>
      </c>
      <c r="E177" s="13" t="s">
        <v>375</v>
      </c>
      <c r="F177">
        <v>60471</v>
      </c>
      <c r="G177" s="7">
        <v>46022</v>
      </c>
      <c r="H177" s="2" t="s">
        <v>376</v>
      </c>
      <c r="I177" s="2" t="s">
        <v>18</v>
      </c>
      <c r="J177" s="2" t="s">
        <v>25</v>
      </c>
      <c r="L177" s="2" t="s">
        <v>20</v>
      </c>
      <c r="M177" s="14" t="s">
        <v>26</v>
      </c>
      <c r="N177" s="2" t="s">
        <v>22</v>
      </c>
      <c r="O177" s="4">
        <v>19950</v>
      </c>
      <c r="P177">
        <v>23541</v>
      </c>
      <c r="Q177" s="21">
        <f>Table1[[#This Row],[סכום כולל מע"מ]]-Table1[[#This Row],[סכום לפני מעמ2]]</f>
        <v>3591</v>
      </c>
    </row>
    <row r="178" spans="2:17" hidden="1" x14ac:dyDescent="0.25">
      <c r="B178">
        <v>176</v>
      </c>
      <c r="C178" t="s">
        <v>15</v>
      </c>
      <c r="D178">
        <v>176</v>
      </c>
      <c r="E178" s="13" t="s">
        <v>377</v>
      </c>
      <c r="F178">
        <v>60471</v>
      </c>
      <c r="G178" s="7">
        <v>46022</v>
      </c>
      <c r="H178" s="2" t="s">
        <v>378</v>
      </c>
      <c r="I178" s="2" t="s">
        <v>18</v>
      </c>
      <c r="J178" s="2" t="s">
        <v>25</v>
      </c>
      <c r="L178" s="2" t="s">
        <v>20</v>
      </c>
      <c r="M178" s="14" t="s">
        <v>26</v>
      </c>
      <c r="N178" s="2" t="s">
        <v>22</v>
      </c>
      <c r="O178" s="4">
        <v>19950</v>
      </c>
      <c r="P178">
        <v>23541</v>
      </c>
      <c r="Q178" s="21">
        <f>Table1[[#This Row],[סכום כולל מע"מ]]-Table1[[#This Row],[סכום לפני מעמ2]]</f>
        <v>3591</v>
      </c>
    </row>
    <row r="179" spans="2:17" hidden="1" x14ac:dyDescent="0.25">
      <c r="B179">
        <v>177</v>
      </c>
      <c r="C179" t="s">
        <v>15</v>
      </c>
      <c r="D179">
        <v>177</v>
      </c>
      <c r="E179" s="13" t="s">
        <v>379</v>
      </c>
      <c r="F179">
        <v>60471</v>
      </c>
      <c r="G179" s="7">
        <v>46022</v>
      </c>
      <c r="H179" s="2" t="s">
        <v>380</v>
      </c>
      <c r="I179" s="2" t="s">
        <v>18</v>
      </c>
      <c r="J179" s="2" t="s">
        <v>25</v>
      </c>
      <c r="L179" s="2" t="s">
        <v>20</v>
      </c>
      <c r="M179" s="14" t="s">
        <v>26</v>
      </c>
      <c r="N179" s="2" t="s">
        <v>22</v>
      </c>
      <c r="O179" s="4">
        <v>19950</v>
      </c>
      <c r="P179">
        <v>23541</v>
      </c>
      <c r="Q179" s="21">
        <f>Table1[[#This Row],[סכום כולל מע"מ]]-Table1[[#This Row],[סכום לפני מעמ2]]</f>
        <v>3591</v>
      </c>
    </row>
    <row r="180" spans="2:17" x14ac:dyDescent="0.25">
      <c r="B180">
        <v>178</v>
      </c>
      <c r="C180" t="s">
        <v>15</v>
      </c>
      <c r="D180">
        <v>178</v>
      </c>
      <c r="E180" s="13" t="s">
        <v>381</v>
      </c>
      <c r="F180">
        <v>60471</v>
      </c>
      <c r="G180" s="7">
        <v>46022</v>
      </c>
      <c r="H180" s="2" t="s">
        <v>382</v>
      </c>
      <c r="I180" s="2" t="s">
        <v>18</v>
      </c>
      <c r="J180" s="2" t="s">
        <v>25</v>
      </c>
      <c r="L180" s="2" t="s">
        <v>20</v>
      </c>
      <c r="M180" s="14" t="s">
        <v>26</v>
      </c>
      <c r="N180" s="2" t="s">
        <v>22</v>
      </c>
      <c r="O180" s="4">
        <v>1530</v>
      </c>
      <c r="P180">
        <v>1805.4</v>
      </c>
      <c r="Q180" s="21">
        <f>Table1[[#This Row],[סכום כולל מע"מ]]-Table1[[#This Row],[סכום לפני מעמ2]]</f>
        <v>275.40000000000009</v>
      </c>
    </row>
    <row r="181" spans="2:17" hidden="1" x14ac:dyDescent="0.25">
      <c r="B181">
        <v>179</v>
      </c>
      <c r="C181" t="s">
        <v>15</v>
      </c>
      <c r="D181">
        <v>179</v>
      </c>
      <c r="E181" s="13" t="s">
        <v>383</v>
      </c>
      <c r="F181">
        <v>60471</v>
      </c>
      <c r="G181" s="7">
        <v>46022</v>
      </c>
      <c r="H181" s="2" t="s">
        <v>384</v>
      </c>
      <c r="I181" s="2" t="s">
        <v>18</v>
      </c>
      <c r="J181" s="2" t="s">
        <v>33</v>
      </c>
      <c r="L181" s="2" t="s">
        <v>20</v>
      </c>
      <c r="M181" s="14" t="s">
        <v>34</v>
      </c>
      <c r="N181" s="2" t="s">
        <v>22</v>
      </c>
      <c r="O181" s="4">
        <v>19995</v>
      </c>
      <c r="P181">
        <v>23594.1</v>
      </c>
      <c r="Q181" s="21">
        <f>Table1[[#This Row],[סכום כולל מע"מ]]-Table1[[#This Row],[סכום לפני מעמ2]]</f>
        <v>3599.0999999999985</v>
      </c>
    </row>
    <row r="182" spans="2:17" hidden="1" x14ac:dyDescent="0.25">
      <c r="B182">
        <v>180</v>
      </c>
      <c r="C182" t="s">
        <v>15</v>
      </c>
      <c r="D182">
        <v>180</v>
      </c>
      <c r="E182" s="13" t="s">
        <v>385</v>
      </c>
      <c r="F182">
        <v>60471</v>
      </c>
      <c r="G182" s="7">
        <v>46022</v>
      </c>
      <c r="H182" s="2" t="s">
        <v>386</v>
      </c>
      <c r="I182" s="2" t="s">
        <v>18</v>
      </c>
      <c r="J182" s="2" t="s">
        <v>25</v>
      </c>
      <c r="L182" s="2" t="s">
        <v>20</v>
      </c>
      <c r="M182" s="14" t="s">
        <v>26</v>
      </c>
      <c r="N182" s="2" t="s">
        <v>22</v>
      </c>
      <c r="O182" s="4">
        <v>19980</v>
      </c>
      <c r="P182">
        <v>23576.400000000001</v>
      </c>
      <c r="Q182" s="21">
        <f>Table1[[#This Row],[סכום כולל מע"מ]]-Table1[[#This Row],[סכום לפני מעמ2]]</f>
        <v>3596.4000000000015</v>
      </c>
    </row>
    <row r="183" spans="2:17" hidden="1" x14ac:dyDescent="0.25">
      <c r="B183">
        <v>181</v>
      </c>
      <c r="C183" t="s">
        <v>15</v>
      </c>
      <c r="D183">
        <v>181</v>
      </c>
      <c r="E183" s="13" t="s">
        <v>387</v>
      </c>
      <c r="F183">
        <v>60471</v>
      </c>
      <c r="G183" s="7">
        <v>46022</v>
      </c>
      <c r="H183" s="2" t="s">
        <v>388</v>
      </c>
      <c r="I183" s="2" t="s">
        <v>18</v>
      </c>
      <c r="J183" s="2" t="s">
        <v>25</v>
      </c>
      <c r="L183" s="2" t="s">
        <v>20</v>
      </c>
      <c r="M183" s="14" t="s">
        <v>26</v>
      </c>
      <c r="N183" s="2" t="s">
        <v>22</v>
      </c>
      <c r="O183" s="4">
        <v>19995</v>
      </c>
      <c r="P183">
        <v>23594.1</v>
      </c>
      <c r="Q183" s="21">
        <f>Table1[[#This Row],[סכום כולל מע"מ]]-Table1[[#This Row],[סכום לפני מעמ2]]</f>
        <v>3599.0999999999985</v>
      </c>
    </row>
    <row r="184" spans="2:17" hidden="1" x14ac:dyDescent="0.25">
      <c r="B184">
        <v>182</v>
      </c>
      <c r="C184" t="s">
        <v>15</v>
      </c>
      <c r="D184">
        <v>182</v>
      </c>
      <c r="E184" s="13" t="s">
        <v>389</v>
      </c>
      <c r="F184">
        <v>60471</v>
      </c>
      <c r="G184" s="7">
        <v>46022</v>
      </c>
      <c r="H184" s="2" t="s">
        <v>390</v>
      </c>
      <c r="I184" s="2" t="s">
        <v>18</v>
      </c>
      <c r="J184" s="2" t="s">
        <v>25</v>
      </c>
      <c r="L184" s="2" t="s">
        <v>20</v>
      </c>
      <c r="M184" s="14" t="s">
        <v>26</v>
      </c>
      <c r="N184" s="2" t="s">
        <v>22</v>
      </c>
      <c r="O184" s="4">
        <v>19950</v>
      </c>
      <c r="P184">
        <v>23541</v>
      </c>
      <c r="Q184" s="21">
        <f>Table1[[#This Row],[סכום כולל מע"מ]]-Table1[[#This Row],[סכום לפני מעמ2]]</f>
        <v>3591</v>
      </c>
    </row>
    <row r="185" spans="2:17" x14ac:dyDescent="0.25">
      <c r="B185">
        <v>183</v>
      </c>
      <c r="C185" t="s">
        <v>15</v>
      </c>
      <c r="D185">
        <v>183</v>
      </c>
      <c r="E185" s="13" t="s">
        <v>391</v>
      </c>
      <c r="F185">
        <v>60471</v>
      </c>
      <c r="G185" s="7">
        <v>46022</v>
      </c>
      <c r="H185" s="2" t="s">
        <v>392</v>
      </c>
      <c r="I185" s="2" t="s">
        <v>18</v>
      </c>
      <c r="J185" s="2" t="s">
        <v>25</v>
      </c>
      <c r="L185" s="2" t="s">
        <v>20</v>
      </c>
      <c r="M185" s="14" t="s">
        <v>26</v>
      </c>
      <c r="N185" s="2" t="s">
        <v>22</v>
      </c>
      <c r="O185" s="4">
        <v>1530</v>
      </c>
      <c r="P185">
        <v>1805.4</v>
      </c>
      <c r="Q185" s="21">
        <f>Table1[[#This Row],[סכום כולל מע"מ]]-Table1[[#This Row],[סכום לפני מעמ2]]</f>
        <v>275.40000000000009</v>
      </c>
    </row>
    <row r="186" spans="2:17" hidden="1" x14ac:dyDescent="0.25">
      <c r="B186">
        <v>184</v>
      </c>
      <c r="C186" t="s">
        <v>15</v>
      </c>
      <c r="D186">
        <v>184</v>
      </c>
      <c r="E186" s="13" t="s">
        <v>393</v>
      </c>
      <c r="F186">
        <v>60471</v>
      </c>
      <c r="G186" s="7">
        <v>46022</v>
      </c>
      <c r="H186" s="2" t="s">
        <v>394</v>
      </c>
      <c r="I186" s="2" t="s">
        <v>18</v>
      </c>
      <c r="J186" s="2" t="s">
        <v>25</v>
      </c>
      <c r="L186" s="2" t="s">
        <v>20</v>
      </c>
      <c r="M186" s="14" t="s">
        <v>26</v>
      </c>
      <c r="N186" s="2" t="s">
        <v>22</v>
      </c>
      <c r="O186" s="4">
        <v>19950</v>
      </c>
      <c r="P186">
        <v>23541</v>
      </c>
      <c r="Q186" s="21">
        <f>Table1[[#This Row],[סכום כולל מע"מ]]-Table1[[#This Row],[סכום לפני מעמ2]]</f>
        <v>3591</v>
      </c>
    </row>
    <row r="187" spans="2:17" hidden="1" x14ac:dyDescent="0.25">
      <c r="B187">
        <v>185</v>
      </c>
      <c r="C187" t="s">
        <v>15</v>
      </c>
      <c r="D187">
        <v>185</v>
      </c>
      <c r="E187" s="13" t="s">
        <v>395</v>
      </c>
      <c r="F187">
        <v>60471</v>
      </c>
      <c r="G187" s="7">
        <v>46022</v>
      </c>
      <c r="H187" s="2" t="s">
        <v>396</v>
      </c>
      <c r="I187" s="2" t="s">
        <v>18</v>
      </c>
      <c r="J187" s="2" t="s">
        <v>25</v>
      </c>
      <c r="L187" s="2" t="s">
        <v>20</v>
      </c>
      <c r="M187" s="14" t="s">
        <v>26</v>
      </c>
      <c r="N187" s="2" t="s">
        <v>22</v>
      </c>
      <c r="O187" s="4">
        <v>19980</v>
      </c>
      <c r="P187">
        <v>23576.400000000001</v>
      </c>
      <c r="Q187" s="21">
        <f>Table1[[#This Row],[סכום כולל מע"מ]]-Table1[[#This Row],[סכום לפני מעמ2]]</f>
        <v>3596.4000000000015</v>
      </c>
    </row>
    <row r="188" spans="2:17" x14ac:dyDescent="0.25">
      <c r="B188">
        <v>186</v>
      </c>
      <c r="C188" t="s">
        <v>15</v>
      </c>
      <c r="D188">
        <v>186</v>
      </c>
      <c r="E188" s="13" t="s">
        <v>397</v>
      </c>
      <c r="F188">
        <v>60471</v>
      </c>
      <c r="G188" s="7">
        <v>46022</v>
      </c>
      <c r="H188" s="2" t="s">
        <v>398</v>
      </c>
      <c r="I188" s="2" t="s">
        <v>18</v>
      </c>
      <c r="J188" s="2" t="s">
        <v>25</v>
      </c>
      <c r="L188" s="2" t="s">
        <v>20</v>
      </c>
      <c r="M188" s="14" t="s">
        <v>26</v>
      </c>
      <c r="N188" s="2" t="s">
        <v>22</v>
      </c>
      <c r="O188" s="4">
        <v>1530</v>
      </c>
      <c r="P188">
        <v>1805.4</v>
      </c>
      <c r="Q188" s="21">
        <f>Table1[[#This Row],[סכום כולל מע"מ]]-Table1[[#This Row],[סכום לפני מעמ2]]</f>
        <v>275.40000000000009</v>
      </c>
    </row>
    <row r="189" spans="2:17" hidden="1" x14ac:dyDescent="0.25">
      <c r="B189">
        <v>187</v>
      </c>
      <c r="C189" t="s">
        <v>15</v>
      </c>
      <c r="D189">
        <v>187</v>
      </c>
      <c r="E189" s="13" t="s">
        <v>399</v>
      </c>
      <c r="F189">
        <v>60471</v>
      </c>
      <c r="G189" s="7">
        <v>46022</v>
      </c>
      <c r="H189" s="2" t="s">
        <v>400</v>
      </c>
      <c r="I189" s="2" t="s">
        <v>18</v>
      </c>
      <c r="J189" s="2" t="s">
        <v>59</v>
      </c>
      <c r="L189" s="2" t="s">
        <v>20</v>
      </c>
      <c r="M189" s="14" t="s">
        <v>60</v>
      </c>
      <c r="N189" s="2" t="s">
        <v>22</v>
      </c>
      <c r="O189" s="4">
        <v>19970</v>
      </c>
      <c r="P189">
        <v>23564.6</v>
      </c>
      <c r="Q189" s="21">
        <f>Table1[[#This Row],[סכום כולל מע"מ]]-Table1[[#This Row],[סכום לפני מעמ2]]</f>
        <v>3594.5999999999985</v>
      </c>
    </row>
    <row r="190" spans="2:17" hidden="1" x14ac:dyDescent="0.25">
      <c r="B190">
        <v>188</v>
      </c>
      <c r="C190" t="s">
        <v>15</v>
      </c>
      <c r="D190">
        <v>188</v>
      </c>
      <c r="E190" s="13" t="s">
        <v>401</v>
      </c>
      <c r="F190">
        <v>60471</v>
      </c>
      <c r="G190" s="7">
        <v>46022</v>
      </c>
      <c r="H190" s="2" t="s">
        <v>402</v>
      </c>
      <c r="I190" s="2" t="s">
        <v>18</v>
      </c>
      <c r="J190" s="2" t="s">
        <v>25</v>
      </c>
      <c r="L190" s="2" t="s">
        <v>20</v>
      </c>
      <c r="M190" s="14" t="s">
        <v>26</v>
      </c>
      <c r="N190" s="2" t="s">
        <v>22</v>
      </c>
      <c r="O190" s="4">
        <v>19950</v>
      </c>
      <c r="P190">
        <v>23541</v>
      </c>
      <c r="Q190" s="21">
        <f>Table1[[#This Row],[סכום כולל מע"מ]]-Table1[[#This Row],[סכום לפני מעמ2]]</f>
        <v>3591</v>
      </c>
    </row>
    <row r="191" spans="2:17" hidden="1" x14ac:dyDescent="0.25">
      <c r="B191">
        <v>189</v>
      </c>
      <c r="C191" t="s">
        <v>15</v>
      </c>
      <c r="D191">
        <v>189</v>
      </c>
      <c r="E191" s="13" t="s">
        <v>403</v>
      </c>
      <c r="F191">
        <v>60471</v>
      </c>
      <c r="G191" s="7">
        <v>46022</v>
      </c>
      <c r="H191" s="2" t="s">
        <v>404</v>
      </c>
      <c r="I191" s="2" t="s">
        <v>18</v>
      </c>
      <c r="J191" s="2" t="s">
        <v>59</v>
      </c>
      <c r="L191" s="2" t="s">
        <v>20</v>
      </c>
      <c r="M191" s="14" t="s">
        <v>60</v>
      </c>
      <c r="N191" s="2" t="s">
        <v>22</v>
      </c>
      <c r="O191" s="4">
        <v>19970</v>
      </c>
      <c r="P191">
        <v>23564.6</v>
      </c>
      <c r="Q191" s="21">
        <f>Table1[[#This Row],[סכום כולל מע"מ]]-Table1[[#This Row],[סכום לפני מעמ2]]</f>
        <v>3594.5999999999985</v>
      </c>
    </row>
    <row r="192" spans="2:17" hidden="1" x14ac:dyDescent="0.25">
      <c r="B192">
        <v>190</v>
      </c>
      <c r="C192" t="s">
        <v>15</v>
      </c>
      <c r="D192">
        <v>190</v>
      </c>
      <c r="E192" s="13" t="s">
        <v>405</v>
      </c>
      <c r="F192">
        <v>60471</v>
      </c>
      <c r="G192" s="7">
        <v>46022</v>
      </c>
      <c r="H192" s="2" t="s">
        <v>406</v>
      </c>
      <c r="I192" s="2" t="s">
        <v>18</v>
      </c>
      <c r="J192" s="2" t="s">
        <v>25</v>
      </c>
      <c r="L192" s="2" t="s">
        <v>20</v>
      </c>
      <c r="M192" s="14" t="s">
        <v>26</v>
      </c>
      <c r="N192" s="2" t="s">
        <v>22</v>
      </c>
      <c r="O192" s="4">
        <v>19995</v>
      </c>
      <c r="P192">
        <v>23594.1</v>
      </c>
      <c r="Q192" s="21">
        <f>Table1[[#This Row],[סכום כולל מע"מ]]-Table1[[#This Row],[סכום לפני מעמ2]]</f>
        <v>3599.0999999999985</v>
      </c>
    </row>
    <row r="193" spans="2:17" hidden="1" x14ac:dyDescent="0.25">
      <c r="B193">
        <v>191</v>
      </c>
      <c r="C193" t="s">
        <v>15</v>
      </c>
      <c r="D193">
        <v>191</v>
      </c>
      <c r="E193" s="13" t="s">
        <v>73</v>
      </c>
      <c r="F193">
        <v>60471</v>
      </c>
      <c r="G193" s="7">
        <v>46022</v>
      </c>
      <c r="H193" s="2" t="s">
        <v>74</v>
      </c>
      <c r="I193" s="2" t="s">
        <v>18</v>
      </c>
      <c r="J193" s="2" t="s">
        <v>59</v>
      </c>
      <c r="L193" s="2" t="s">
        <v>20</v>
      </c>
      <c r="M193" s="14" t="s">
        <v>60</v>
      </c>
      <c r="N193" s="2" t="s">
        <v>22</v>
      </c>
      <c r="O193" s="4">
        <v>19970</v>
      </c>
      <c r="P193">
        <v>23564.6</v>
      </c>
      <c r="Q193" s="21">
        <f>Table1[[#This Row],[סכום כולל מע"מ]]-Table1[[#This Row],[סכום לפני מעמ2]]</f>
        <v>3594.5999999999985</v>
      </c>
    </row>
    <row r="194" spans="2:17" hidden="1" x14ac:dyDescent="0.25">
      <c r="B194">
        <v>192</v>
      </c>
      <c r="C194" t="s">
        <v>15</v>
      </c>
      <c r="D194">
        <v>192</v>
      </c>
      <c r="E194" s="13" t="s">
        <v>407</v>
      </c>
      <c r="F194">
        <v>60471</v>
      </c>
      <c r="G194" s="7">
        <v>46022</v>
      </c>
      <c r="H194" s="2" t="s">
        <v>408</v>
      </c>
      <c r="I194" s="2" t="s">
        <v>18</v>
      </c>
      <c r="J194" s="2" t="s">
        <v>25</v>
      </c>
      <c r="L194" s="2" t="s">
        <v>20</v>
      </c>
      <c r="M194" s="14" t="s">
        <v>26</v>
      </c>
      <c r="N194" s="2" t="s">
        <v>22</v>
      </c>
      <c r="O194" s="4">
        <v>19950</v>
      </c>
      <c r="P194">
        <v>23541</v>
      </c>
      <c r="Q194" s="21">
        <f>Table1[[#This Row],[סכום כולל מע"מ]]-Table1[[#This Row],[סכום לפני מעמ2]]</f>
        <v>3591</v>
      </c>
    </row>
    <row r="195" spans="2:17" hidden="1" x14ac:dyDescent="0.25">
      <c r="B195">
        <v>193</v>
      </c>
      <c r="C195" t="s">
        <v>15</v>
      </c>
      <c r="D195">
        <v>193</v>
      </c>
      <c r="E195" s="13" t="s">
        <v>409</v>
      </c>
      <c r="F195">
        <v>60471</v>
      </c>
      <c r="G195" s="7">
        <v>46022</v>
      </c>
      <c r="H195" s="2" t="s">
        <v>410</v>
      </c>
      <c r="I195" s="2" t="s">
        <v>18</v>
      </c>
      <c r="J195" s="2" t="s">
        <v>25</v>
      </c>
      <c r="L195" s="2" t="s">
        <v>20</v>
      </c>
      <c r="M195" s="14" t="s">
        <v>26</v>
      </c>
      <c r="N195" s="2" t="s">
        <v>22</v>
      </c>
      <c r="O195" s="4">
        <v>19950</v>
      </c>
      <c r="P195">
        <v>23541</v>
      </c>
      <c r="Q195" s="21">
        <f>Table1[[#This Row],[סכום כולל מע"מ]]-Table1[[#This Row],[סכום לפני מעמ2]]</f>
        <v>3591</v>
      </c>
    </row>
    <row r="196" spans="2:17" hidden="1" x14ac:dyDescent="0.25">
      <c r="B196">
        <v>194</v>
      </c>
      <c r="C196" t="s">
        <v>15</v>
      </c>
      <c r="D196">
        <v>194</v>
      </c>
      <c r="E196" s="13" t="s">
        <v>411</v>
      </c>
      <c r="F196">
        <v>60471</v>
      </c>
      <c r="G196" s="7">
        <v>46022</v>
      </c>
      <c r="H196" s="2" t="s">
        <v>412</v>
      </c>
      <c r="I196" s="2" t="s">
        <v>18</v>
      </c>
      <c r="J196" s="2" t="s">
        <v>25</v>
      </c>
      <c r="L196" s="2" t="s">
        <v>20</v>
      </c>
      <c r="M196" s="14" t="s">
        <v>26</v>
      </c>
      <c r="N196" s="2" t="s">
        <v>22</v>
      </c>
      <c r="O196" s="4">
        <v>19950</v>
      </c>
      <c r="P196">
        <v>23541</v>
      </c>
      <c r="Q196" s="21">
        <f>Table1[[#This Row],[סכום כולל מע"מ]]-Table1[[#This Row],[סכום לפני מעמ2]]</f>
        <v>3591</v>
      </c>
    </row>
    <row r="197" spans="2:17" hidden="1" x14ac:dyDescent="0.25">
      <c r="B197">
        <v>195</v>
      </c>
      <c r="C197" t="s">
        <v>15</v>
      </c>
      <c r="D197">
        <v>195</v>
      </c>
      <c r="E197" s="13" t="s">
        <v>413</v>
      </c>
      <c r="F197">
        <v>60471</v>
      </c>
      <c r="G197" s="7">
        <v>46022</v>
      </c>
      <c r="H197" s="2" t="s">
        <v>414</v>
      </c>
      <c r="I197" s="2" t="s">
        <v>18</v>
      </c>
      <c r="J197" s="2" t="s">
        <v>19</v>
      </c>
      <c r="L197" s="2" t="s">
        <v>20</v>
      </c>
      <c r="M197" s="14" t="s">
        <v>21</v>
      </c>
      <c r="N197" s="2" t="s">
        <v>22</v>
      </c>
      <c r="O197" s="4">
        <v>19950</v>
      </c>
      <c r="P197">
        <v>23541</v>
      </c>
      <c r="Q197" s="21">
        <f>Table1[[#This Row],[סכום כולל מע"מ]]-Table1[[#This Row],[סכום לפני מעמ2]]</f>
        <v>3591</v>
      </c>
    </row>
    <row r="198" spans="2:17" hidden="1" x14ac:dyDescent="0.25">
      <c r="B198">
        <v>196</v>
      </c>
      <c r="C198" t="s">
        <v>15</v>
      </c>
      <c r="D198">
        <v>196</v>
      </c>
      <c r="E198" s="13" t="s">
        <v>415</v>
      </c>
      <c r="F198">
        <v>60471</v>
      </c>
      <c r="G198" s="7">
        <v>46022</v>
      </c>
      <c r="H198" s="2" t="s">
        <v>416</v>
      </c>
      <c r="I198" s="2" t="s">
        <v>18</v>
      </c>
      <c r="J198" s="2" t="s">
        <v>25</v>
      </c>
      <c r="L198" s="2" t="s">
        <v>20</v>
      </c>
      <c r="M198" s="14" t="s">
        <v>26</v>
      </c>
      <c r="N198" s="2" t="s">
        <v>22</v>
      </c>
      <c r="O198" s="4">
        <v>19980</v>
      </c>
      <c r="P198">
        <v>23576.400000000001</v>
      </c>
      <c r="Q198" s="21">
        <f>Table1[[#This Row],[סכום כולל מע"מ]]-Table1[[#This Row],[סכום לפני מעמ2]]</f>
        <v>3596.4000000000015</v>
      </c>
    </row>
    <row r="199" spans="2:17" hidden="1" x14ac:dyDescent="0.25">
      <c r="B199">
        <v>197</v>
      </c>
      <c r="C199" t="s">
        <v>15</v>
      </c>
      <c r="D199">
        <v>197</v>
      </c>
      <c r="E199" s="13" t="s">
        <v>417</v>
      </c>
      <c r="F199">
        <v>60471</v>
      </c>
      <c r="G199" s="7">
        <v>46022</v>
      </c>
      <c r="H199" s="2" t="s">
        <v>418</v>
      </c>
      <c r="I199" s="2" t="s">
        <v>18</v>
      </c>
      <c r="J199" s="2" t="s">
        <v>25</v>
      </c>
      <c r="L199" s="2" t="s">
        <v>20</v>
      </c>
      <c r="M199" s="14" t="s">
        <v>26</v>
      </c>
      <c r="N199" s="2" t="s">
        <v>22</v>
      </c>
      <c r="O199" s="4">
        <v>19950</v>
      </c>
      <c r="P199">
        <v>23541</v>
      </c>
      <c r="Q199" s="21">
        <f>Table1[[#This Row],[סכום כולל מע"מ]]-Table1[[#This Row],[סכום לפני מעמ2]]</f>
        <v>3591</v>
      </c>
    </row>
    <row r="200" spans="2:17" hidden="1" x14ac:dyDescent="0.25">
      <c r="B200">
        <v>198</v>
      </c>
      <c r="C200" t="s">
        <v>15</v>
      </c>
      <c r="D200">
        <v>198</v>
      </c>
      <c r="E200" s="13" t="s">
        <v>419</v>
      </c>
      <c r="F200">
        <v>60471</v>
      </c>
      <c r="G200" s="7">
        <v>46022</v>
      </c>
      <c r="H200" s="2" t="s">
        <v>420</v>
      </c>
      <c r="I200" s="2" t="s">
        <v>18</v>
      </c>
      <c r="J200" s="2" t="s">
        <v>59</v>
      </c>
      <c r="L200" s="2" t="s">
        <v>20</v>
      </c>
      <c r="M200" s="14" t="s">
        <v>60</v>
      </c>
      <c r="N200" s="2" t="s">
        <v>22</v>
      </c>
      <c r="O200" s="4">
        <v>19970</v>
      </c>
      <c r="P200">
        <v>23564.6</v>
      </c>
      <c r="Q200" s="21">
        <f>Table1[[#This Row],[סכום כולל מע"מ]]-Table1[[#This Row],[סכום לפני מעמ2]]</f>
        <v>3594.5999999999985</v>
      </c>
    </row>
    <row r="201" spans="2:17" hidden="1" x14ac:dyDescent="0.25">
      <c r="B201">
        <v>199</v>
      </c>
      <c r="C201" t="s">
        <v>15</v>
      </c>
      <c r="D201">
        <v>199</v>
      </c>
      <c r="E201" s="13" t="s">
        <v>421</v>
      </c>
      <c r="F201">
        <v>60471</v>
      </c>
      <c r="G201" s="7">
        <v>46022</v>
      </c>
      <c r="H201" s="2" t="s">
        <v>422</v>
      </c>
      <c r="I201" s="2" t="s">
        <v>18</v>
      </c>
      <c r="J201" s="2" t="s">
        <v>59</v>
      </c>
      <c r="L201" s="2" t="s">
        <v>20</v>
      </c>
      <c r="M201" s="14" t="s">
        <v>60</v>
      </c>
      <c r="N201" s="2" t="s">
        <v>22</v>
      </c>
      <c r="O201" s="4">
        <v>19995</v>
      </c>
      <c r="P201">
        <v>23594.1</v>
      </c>
      <c r="Q201" s="21">
        <f>Table1[[#This Row],[סכום כולל מע"מ]]-Table1[[#This Row],[סכום לפני מעמ2]]</f>
        <v>3599.0999999999985</v>
      </c>
    </row>
    <row r="202" spans="2:17" hidden="1" x14ac:dyDescent="0.25">
      <c r="B202">
        <v>200</v>
      </c>
      <c r="C202" t="s">
        <v>15</v>
      </c>
      <c r="D202">
        <v>200</v>
      </c>
      <c r="E202" s="13" t="s">
        <v>423</v>
      </c>
      <c r="F202">
        <v>60471</v>
      </c>
      <c r="G202" s="7">
        <v>46022</v>
      </c>
      <c r="H202" s="2" t="s">
        <v>424</v>
      </c>
      <c r="I202" s="2" t="s">
        <v>18</v>
      </c>
      <c r="J202" s="2" t="s">
        <v>59</v>
      </c>
      <c r="L202" s="2" t="s">
        <v>20</v>
      </c>
      <c r="M202" s="14" t="s">
        <v>60</v>
      </c>
      <c r="N202" s="2" t="s">
        <v>22</v>
      </c>
      <c r="O202" s="4">
        <v>19970</v>
      </c>
      <c r="P202">
        <v>23564.6</v>
      </c>
      <c r="Q202" s="21">
        <f>Table1[[#This Row],[סכום כולל מע"מ]]-Table1[[#This Row],[סכום לפני מעמ2]]</f>
        <v>3594.5999999999985</v>
      </c>
    </row>
    <row r="203" spans="2:17" hidden="1" x14ac:dyDescent="0.25">
      <c r="B203">
        <v>201</v>
      </c>
      <c r="C203" t="s">
        <v>15</v>
      </c>
      <c r="D203">
        <v>201</v>
      </c>
      <c r="E203" s="13" t="s">
        <v>425</v>
      </c>
      <c r="F203">
        <v>60471</v>
      </c>
      <c r="G203" s="7">
        <v>46022</v>
      </c>
      <c r="H203" s="2" t="s">
        <v>426</v>
      </c>
      <c r="I203" s="2" t="s">
        <v>18</v>
      </c>
      <c r="J203" s="2" t="s">
        <v>25</v>
      </c>
      <c r="L203" s="2" t="s">
        <v>20</v>
      </c>
      <c r="M203" s="14" t="s">
        <v>26</v>
      </c>
      <c r="N203" s="2" t="s">
        <v>22</v>
      </c>
      <c r="O203" s="4">
        <v>19995</v>
      </c>
      <c r="P203">
        <v>23594.1</v>
      </c>
      <c r="Q203" s="21">
        <f>Table1[[#This Row],[סכום כולל מע"מ]]-Table1[[#This Row],[סכום לפני מעמ2]]</f>
        <v>3599.0999999999985</v>
      </c>
    </row>
    <row r="204" spans="2:17" hidden="1" x14ac:dyDescent="0.25">
      <c r="B204">
        <v>202</v>
      </c>
      <c r="C204" t="s">
        <v>15</v>
      </c>
      <c r="D204">
        <v>202</v>
      </c>
      <c r="E204" s="13" t="s">
        <v>427</v>
      </c>
      <c r="F204">
        <v>60471</v>
      </c>
      <c r="G204" s="7">
        <v>46022</v>
      </c>
      <c r="H204" s="2" t="s">
        <v>428</v>
      </c>
      <c r="I204" s="2" t="s">
        <v>18</v>
      </c>
      <c r="J204" s="2" t="s">
        <v>59</v>
      </c>
      <c r="L204" s="2" t="s">
        <v>20</v>
      </c>
      <c r="M204" s="14" t="s">
        <v>60</v>
      </c>
      <c r="N204" s="2" t="s">
        <v>22</v>
      </c>
      <c r="O204" s="4">
        <v>19995</v>
      </c>
      <c r="P204">
        <v>23594.1</v>
      </c>
      <c r="Q204" s="21">
        <f>Table1[[#This Row],[סכום כולל מע"מ]]-Table1[[#This Row],[סכום לפני מעמ2]]</f>
        <v>3599.0999999999985</v>
      </c>
    </row>
    <row r="205" spans="2:17" hidden="1" x14ac:dyDescent="0.25">
      <c r="B205">
        <v>203</v>
      </c>
      <c r="C205" t="s">
        <v>15</v>
      </c>
      <c r="D205">
        <v>203</v>
      </c>
      <c r="E205" s="13" t="s">
        <v>429</v>
      </c>
      <c r="F205">
        <v>60471</v>
      </c>
      <c r="G205" s="7">
        <v>46022</v>
      </c>
      <c r="H205" s="2" t="s">
        <v>430</v>
      </c>
      <c r="I205" s="2" t="s">
        <v>18</v>
      </c>
      <c r="J205" s="2" t="s">
        <v>59</v>
      </c>
      <c r="L205" s="2" t="s">
        <v>20</v>
      </c>
      <c r="M205" s="14" t="s">
        <v>60</v>
      </c>
      <c r="N205" s="2" t="s">
        <v>22</v>
      </c>
      <c r="O205" s="4">
        <v>19970</v>
      </c>
      <c r="P205">
        <v>23564.6</v>
      </c>
      <c r="Q205" s="21">
        <f>Table1[[#This Row],[סכום כולל מע"מ]]-Table1[[#This Row],[סכום לפני מעמ2]]</f>
        <v>3594.5999999999985</v>
      </c>
    </row>
    <row r="206" spans="2:17" hidden="1" x14ac:dyDescent="0.25">
      <c r="B206">
        <v>204</v>
      </c>
      <c r="C206" t="s">
        <v>15</v>
      </c>
      <c r="D206">
        <v>204</v>
      </c>
      <c r="E206" s="13" t="s">
        <v>431</v>
      </c>
      <c r="F206">
        <v>60471</v>
      </c>
      <c r="G206" s="7">
        <v>46022</v>
      </c>
      <c r="H206" s="2" t="s">
        <v>432</v>
      </c>
      <c r="I206" s="2" t="s">
        <v>18</v>
      </c>
      <c r="J206" s="2" t="s">
        <v>25</v>
      </c>
      <c r="L206" s="2" t="s">
        <v>20</v>
      </c>
      <c r="M206" s="14" t="s">
        <v>26</v>
      </c>
      <c r="N206" s="2" t="s">
        <v>22</v>
      </c>
      <c r="O206" s="4">
        <v>19950</v>
      </c>
      <c r="P206">
        <v>23541</v>
      </c>
      <c r="Q206" s="21">
        <f>Table1[[#This Row],[סכום כולל מע"מ]]-Table1[[#This Row],[סכום לפני מעמ2]]</f>
        <v>3591</v>
      </c>
    </row>
    <row r="207" spans="2:17" hidden="1" x14ac:dyDescent="0.25">
      <c r="B207">
        <v>205</v>
      </c>
      <c r="C207" t="s">
        <v>15</v>
      </c>
      <c r="D207">
        <v>205</v>
      </c>
      <c r="E207" s="13" t="s">
        <v>433</v>
      </c>
      <c r="F207">
        <v>60471</v>
      </c>
      <c r="G207" s="7">
        <v>46022</v>
      </c>
      <c r="H207" s="2" t="s">
        <v>434</v>
      </c>
      <c r="I207" s="2" t="s">
        <v>18</v>
      </c>
      <c r="J207" s="2" t="s">
        <v>25</v>
      </c>
      <c r="L207" s="2" t="s">
        <v>20</v>
      </c>
      <c r="M207" s="14" t="s">
        <v>26</v>
      </c>
      <c r="N207" s="2" t="s">
        <v>22</v>
      </c>
      <c r="O207" s="4">
        <v>19950</v>
      </c>
      <c r="P207">
        <v>23541</v>
      </c>
      <c r="Q207" s="21">
        <f>Table1[[#This Row],[סכום כולל מע"מ]]-Table1[[#This Row],[סכום לפני מעמ2]]</f>
        <v>3591</v>
      </c>
    </row>
    <row r="208" spans="2:17" x14ac:dyDescent="0.25">
      <c r="B208">
        <v>206</v>
      </c>
      <c r="C208" t="s">
        <v>15</v>
      </c>
      <c r="D208">
        <v>206</v>
      </c>
      <c r="E208" s="13" t="s">
        <v>435</v>
      </c>
      <c r="F208">
        <v>60471</v>
      </c>
      <c r="G208" s="7">
        <v>46022</v>
      </c>
      <c r="H208" s="2" t="s">
        <v>436</v>
      </c>
      <c r="I208" s="2" t="s">
        <v>18</v>
      </c>
      <c r="J208" s="2" t="s">
        <v>25</v>
      </c>
      <c r="L208" s="2" t="s">
        <v>20</v>
      </c>
      <c r="M208" s="14" t="s">
        <v>26</v>
      </c>
      <c r="N208" s="2" t="s">
        <v>22</v>
      </c>
      <c r="O208" s="4">
        <v>1530</v>
      </c>
      <c r="P208">
        <v>1805.4</v>
      </c>
      <c r="Q208" s="21">
        <f>Table1[[#This Row],[סכום כולל מע"מ]]-Table1[[#This Row],[סכום לפני מעמ2]]</f>
        <v>275.40000000000009</v>
      </c>
    </row>
    <row r="209" spans="2:17" x14ac:dyDescent="0.25">
      <c r="B209">
        <v>207</v>
      </c>
      <c r="C209" t="s">
        <v>15</v>
      </c>
      <c r="D209">
        <v>207</v>
      </c>
      <c r="E209" s="13" t="s">
        <v>437</v>
      </c>
      <c r="F209">
        <v>60471</v>
      </c>
      <c r="G209" s="7">
        <v>46022</v>
      </c>
      <c r="H209" s="2" t="s">
        <v>438</v>
      </c>
      <c r="I209" s="2" t="s">
        <v>18</v>
      </c>
      <c r="J209" s="2" t="s">
        <v>25</v>
      </c>
      <c r="L209" s="2" t="s">
        <v>20</v>
      </c>
      <c r="M209" s="14" t="s">
        <v>26</v>
      </c>
      <c r="N209" s="2" t="s">
        <v>22</v>
      </c>
      <c r="O209" s="4">
        <v>1530</v>
      </c>
      <c r="P209">
        <v>1805.4</v>
      </c>
      <c r="Q209" s="21">
        <f>Table1[[#This Row],[סכום כולל מע"מ]]-Table1[[#This Row],[סכום לפני מעמ2]]</f>
        <v>275.40000000000009</v>
      </c>
    </row>
    <row r="210" spans="2:17" hidden="1" x14ac:dyDescent="0.25">
      <c r="B210">
        <v>208</v>
      </c>
      <c r="C210" t="s">
        <v>15</v>
      </c>
      <c r="D210">
        <v>208</v>
      </c>
      <c r="E210" s="13" t="s">
        <v>439</v>
      </c>
      <c r="F210">
        <v>60471</v>
      </c>
      <c r="G210" s="7">
        <v>46022</v>
      </c>
      <c r="H210" s="2" t="s">
        <v>440</v>
      </c>
      <c r="I210" s="2" t="s">
        <v>18</v>
      </c>
      <c r="J210" s="2" t="s">
        <v>19</v>
      </c>
      <c r="L210" s="2" t="s">
        <v>20</v>
      </c>
      <c r="M210" s="14" t="s">
        <v>21</v>
      </c>
      <c r="N210" s="2" t="s">
        <v>22</v>
      </c>
      <c r="O210" s="4">
        <v>19950</v>
      </c>
      <c r="P210">
        <v>23541</v>
      </c>
      <c r="Q210" s="21">
        <f>Table1[[#This Row],[סכום כולל מע"מ]]-Table1[[#This Row],[סכום לפני מעמ2]]</f>
        <v>3591</v>
      </c>
    </row>
    <row r="211" spans="2:17" hidden="1" x14ac:dyDescent="0.25">
      <c r="B211">
        <v>209</v>
      </c>
      <c r="C211" t="s">
        <v>15</v>
      </c>
      <c r="D211">
        <v>209</v>
      </c>
      <c r="E211" s="13" t="s">
        <v>441</v>
      </c>
      <c r="F211">
        <v>60471</v>
      </c>
      <c r="G211" s="7">
        <v>46022</v>
      </c>
      <c r="H211" s="2" t="s">
        <v>442</v>
      </c>
      <c r="I211" s="2" t="s">
        <v>18</v>
      </c>
      <c r="J211" s="2" t="s">
        <v>25</v>
      </c>
      <c r="L211" s="2" t="s">
        <v>20</v>
      </c>
      <c r="M211" s="14" t="s">
        <v>26</v>
      </c>
      <c r="N211" s="2" t="s">
        <v>22</v>
      </c>
      <c r="O211" s="4">
        <v>19950</v>
      </c>
      <c r="P211">
        <v>23541</v>
      </c>
      <c r="Q211" s="21">
        <f>Table1[[#This Row],[סכום כולל מע"מ]]-Table1[[#This Row],[סכום לפני מעמ2]]</f>
        <v>3591</v>
      </c>
    </row>
    <row r="212" spans="2:17" x14ac:dyDescent="0.25">
      <c r="B212">
        <v>210</v>
      </c>
      <c r="C212" t="s">
        <v>15</v>
      </c>
      <c r="D212">
        <v>210</v>
      </c>
      <c r="E212" s="13" t="s">
        <v>443</v>
      </c>
      <c r="F212">
        <v>60471</v>
      </c>
      <c r="G212" s="7">
        <v>46022</v>
      </c>
      <c r="H212" s="2" t="s">
        <v>444</v>
      </c>
      <c r="I212" s="2" t="s">
        <v>18</v>
      </c>
      <c r="J212" s="2" t="s">
        <v>25</v>
      </c>
      <c r="L212" s="2" t="s">
        <v>20</v>
      </c>
      <c r="M212" s="14" t="s">
        <v>26</v>
      </c>
      <c r="N212" s="2" t="s">
        <v>22</v>
      </c>
      <c r="O212" s="4">
        <v>1530</v>
      </c>
      <c r="P212">
        <v>1805.4</v>
      </c>
      <c r="Q212" s="21">
        <f>Table1[[#This Row],[סכום כולל מע"מ]]-Table1[[#This Row],[סכום לפני מעמ2]]</f>
        <v>275.40000000000009</v>
      </c>
    </row>
    <row r="213" spans="2:17" hidden="1" x14ac:dyDescent="0.25">
      <c r="B213">
        <v>211</v>
      </c>
      <c r="C213" t="s">
        <v>15</v>
      </c>
      <c r="D213">
        <v>211</v>
      </c>
      <c r="E213" s="13" t="s">
        <v>445</v>
      </c>
      <c r="F213">
        <v>60471</v>
      </c>
      <c r="G213" s="7">
        <v>46022</v>
      </c>
      <c r="H213" s="2" t="s">
        <v>446</v>
      </c>
      <c r="I213" s="2" t="s">
        <v>18</v>
      </c>
      <c r="J213" s="2" t="s">
        <v>25</v>
      </c>
      <c r="L213" s="2" t="s">
        <v>20</v>
      </c>
      <c r="M213" s="14" t="s">
        <v>26</v>
      </c>
      <c r="N213" s="2" t="s">
        <v>22</v>
      </c>
      <c r="O213" s="4">
        <v>19950</v>
      </c>
      <c r="P213">
        <v>23541</v>
      </c>
      <c r="Q213" s="21">
        <f>Table1[[#This Row],[סכום כולל מע"מ]]-Table1[[#This Row],[סכום לפני מעמ2]]</f>
        <v>3591</v>
      </c>
    </row>
    <row r="214" spans="2:17" hidden="1" x14ac:dyDescent="0.25">
      <c r="B214">
        <v>212</v>
      </c>
      <c r="C214" t="s">
        <v>15</v>
      </c>
      <c r="D214">
        <v>212</v>
      </c>
      <c r="E214" s="13" t="s">
        <v>447</v>
      </c>
      <c r="F214">
        <v>60471</v>
      </c>
      <c r="G214" s="7">
        <v>46022</v>
      </c>
      <c r="H214" s="2" t="s">
        <v>448</v>
      </c>
      <c r="I214" s="2" t="s">
        <v>18</v>
      </c>
      <c r="J214" s="2" t="s">
        <v>25</v>
      </c>
      <c r="L214" s="2" t="s">
        <v>20</v>
      </c>
      <c r="M214" s="14" t="s">
        <v>26</v>
      </c>
      <c r="N214" s="2" t="s">
        <v>22</v>
      </c>
      <c r="O214" s="4">
        <v>19950</v>
      </c>
      <c r="P214">
        <v>23541</v>
      </c>
      <c r="Q214" s="21">
        <f>Table1[[#This Row],[סכום כולל מע"מ]]-Table1[[#This Row],[סכום לפני מעמ2]]</f>
        <v>3591</v>
      </c>
    </row>
    <row r="215" spans="2:17" hidden="1" x14ac:dyDescent="0.25">
      <c r="B215">
        <v>213</v>
      </c>
      <c r="C215" t="s">
        <v>15</v>
      </c>
      <c r="D215">
        <v>213</v>
      </c>
      <c r="E215" s="13" t="s">
        <v>449</v>
      </c>
      <c r="F215">
        <v>60471</v>
      </c>
      <c r="G215" s="7">
        <v>46022</v>
      </c>
      <c r="H215" s="2" t="s">
        <v>450</v>
      </c>
      <c r="I215" s="2" t="s">
        <v>18</v>
      </c>
      <c r="J215" s="2" t="s">
        <v>33</v>
      </c>
      <c r="L215" s="2" t="s">
        <v>20</v>
      </c>
      <c r="M215" s="14" t="s">
        <v>34</v>
      </c>
      <c r="N215" s="2" t="s">
        <v>22</v>
      </c>
      <c r="O215" s="4">
        <v>19995</v>
      </c>
      <c r="P215">
        <v>23594.1</v>
      </c>
      <c r="Q215" s="21">
        <f>Table1[[#This Row],[סכום כולל מע"מ]]-Table1[[#This Row],[סכום לפני מעמ2]]</f>
        <v>3599.0999999999985</v>
      </c>
    </row>
    <row r="216" spans="2:17" hidden="1" x14ac:dyDescent="0.25">
      <c r="B216">
        <v>214</v>
      </c>
      <c r="C216" t="s">
        <v>15</v>
      </c>
      <c r="D216">
        <v>214</v>
      </c>
      <c r="E216" s="13" t="s">
        <v>451</v>
      </c>
      <c r="F216">
        <v>60471</v>
      </c>
      <c r="G216" s="7">
        <v>46022</v>
      </c>
      <c r="H216" s="2" t="s">
        <v>452</v>
      </c>
      <c r="I216" s="2" t="s">
        <v>18</v>
      </c>
      <c r="J216" s="2" t="s">
        <v>59</v>
      </c>
      <c r="L216" s="2" t="s">
        <v>20</v>
      </c>
      <c r="M216" s="14" t="s">
        <v>60</v>
      </c>
      <c r="N216" s="2" t="s">
        <v>22</v>
      </c>
      <c r="O216" s="4">
        <v>19970</v>
      </c>
      <c r="P216">
        <v>23564.6</v>
      </c>
      <c r="Q216" s="21">
        <f>Table1[[#This Row],[סכום כולל מע"מ]]-Table1[[#This Row],[סכום לפני מעמ2]]</f>
        <v>3594.5999999999985</v>
      </c>
    </row>
    <row r="217" spans="2:17" hidden="1" x14ac:dyDescent="0.25">
      <c r="B217">
        <v>215</v>
      </c>
      <c r="C217" t="s">
        <v>15</v>
      </c>
      <c r="D217">
        <v>215</v>
      </c>
      <c r="E217" s="13" t="s">
        <v>453</v>
      </c>
      <c r="F217">
        <v>60471</v>
      </c>
      <c r="G217" s="7">
        <v>46022</v>
      </c>
      <c r="H217" s="2" t="s">
        <v>454</v>
      </c>
      <c r="I217" s="2" t="s">
        <v>18</v>
      </c>
      <c r="J217" s="2" t="s">
        <v>25</v>
      </c>
      <c r="L217" s="2" t="s">
        <v>20</v>
      </c>
      <c r="M217" s="14" t="s">
        <v>26</v>
      </c>
      <c r="N217" s="2" t="s">
        <v>22</v>
      </c>
      <c r="O217" s="4">
        <v>19950</v>
      </c>
      <c r="P217">
        <v>23541</v>
      </c>
      <c r="Q217" s="21">
        <f>Table1[[#This Row],[סכום כולל מע"מ]]-Table1[[#This Row],[סכום לפני מעמ2]]</f>
        <v>3591</v>
      </c>
    </row>
    <row r="218" spans="2:17" hidden="1" x14ac:dyDescent="0.25">
      <c r="B218">
        <v>216</v>
      </c>
      <c r="C218" t="s">
        <v>15</v>
      </c>
      <c r="D218">
        <v>216</v>
      </c>
      <c r="E218" s="13" t="s">
        <v>455</v>
      </c>
      <c r="F218">
        <v>60471</v>
      </c>
      <c r="G218" s="7">
        <v>46022</v>
      </c>
      <c r="H218" s="2" t="s">
        <v>456</v>
      </c>
      <c r="I218" s="2" t="s">
        <v>18</v>
      </c>
      <c r="J218" s="2" t="s">
        <v>25</v>
      </c>
      <c r="L218" s="2" t="s">
        <v>20</v>
      </c>
      <c r="M218" s="14" t="s">
        <v>26</v>
      </c>
      <c r="N218" s="2" t="s">
        <v>22</v>
      </c>
      <c r="O218" s="4">
        <v>19950</v>
      </c>
      <c r="P218">
        <v>23541</v>
      </c>
      <c r="Q218" s="21">
        <f>Table1[[#This Row],[סכום כולל מע"מ]]-Table1[[#This Row],[סכום לפני מעמ2]]</f>
        <v>3591</v>
      </c>
    </row>
    <row r="219" spans="2:17" hidden="1" x14ac:dyDescent="0.25">
      <c r="B219">
        <v>217</v>
      </c>
      <c r="C219" t="s">
        <v>15</v>
      </c>
      <c r="D219">
        <v>217</v>
      </c>
      <c r="E219" s="13" t="s">
        <v>457</v>
      </c>
      <c r="F219">
        <v>60471</v>
      </c>
      <c r="G219" s="7">
        <v>46022</v>
      </c>
      <c r="H219" s="2" t="s">
        <v>458</v>
      </c>
      <c r="I219" s="2" t="s">
        <v>18</v>
      </c>
      <c r="J219" s="2" t="s">
        <v>25</v>
      </c>
      <c r="L219" s="2" t="s">
        <v>20</v>
      </c>
      <c r="M219" s="14" t="s">
        <v>26</v>
      </c>
      <c r="N219" s="2" t="s">
        <v>22</v>
      </c>
      <c r="O219" s="4">
        <v>19950</v>
      </c>
      <c r="P219">
        <v>23541</v>
      </c>
      <c r="Q219" s="21">
        <f>Table1[[#This Row],[סכום כולל מע"מ]]-Table1[[#This Row],[סכום לפני מעמ2]]</f>
        <v>3591</v>
      </c>
    </row>
    <row r="220" spans="2:17" hidden="1" x14ac:dyDescent="0.25">
      <c r="B220">
        <v>218</v>
      </c>
      <c r="C220" t="s">
        <v>15</v>
      </c>
      <c r="D220">
        <v>218</v>
      </c>
      <c r="E220" s="13" t="s">
        <v>459</v>
      </c>
      <c r="F220">
        <v>60471</v>
      </c>
      <c r="G220" s="7">
        <v>46022</v>
      </c>
      <c r="H220" s="2" t="s">
        <v>460</v>
      </c>
      <c r="I220" s="2" t="s">
        <v>18</v>
      </c>
      <c r="J220" s="2" t="s">
        <v>59</v>
      </c>
      <c r="L220" s="2" t="s">
        <v>20</v>
      </c>
      <c r="M220" s="14" t="s">
        <v>60</v>
      </c>
      <c r="N220" s="2" t="s">
        <v>22</v>
      </c>
      <c r="O220" s="4">
        <v>19995</v>
      </c>
      <c r="P220">
        <v>23594.1</v>
      </c>
      <c r="Q220" s="21">
        <f>Table1[[#This Row],[סכום כולל מע"מ]]-Table1[[#This Row],[סכום לפני מעמ2]]</f>
        <v>3599.0999999999985</v>
      </c>
    </row>
    <row r="221" spans="2:17" hidden="1" x14ac:dyDescent="0.25">
      <c r="B221">
        <v>219</v>
      </c>
      <c r="C221" t="s">
        <v>15</v>
      </c>
      <c r="D221">
        <v>219</v>
      </c>
      <c r="E221" s="13" t="s">
        <v>461</v>
      </c>
      <c r="F221">
        <v>60471</v>
      </c>
      <c r="G221" s="7">
        <v>46022</v>
      </c>
      <c r="H221" s="2" t="s">
        <v>462</v>
      </c>
      <c r="I221" s="2" t="s">
        <v>18</v>
      </c>
      <c r="J221" s="2" t="s">
        <v>25</v>
      </c>
      <c r="L221" s="2" t="s">
        <v>20</v>
      </c>
      <c r="M221" s="14" t="s">
        <v>26</v>
      </c>
      <c r="N221" s="2" t="s">
        <v>22</v>
      </c>
      <c r="O221" s="4">
        <v>19980</v>
      </c>
      <c r="P221">
        <v>23576.400000000001</v>
      </c>
      <c r="Q221" s="21">
        <f>Table1[[#This Row],[סכום כולל מע"מ]]-Table1[[#This Row],[סכום לפני מעמ2]]</f>
        <v>3596.4000000000015</v>
      </c>
    </row>
    <row r="222" spans="2:17" hidden="1" x14ac:dyDescent="0.25">
      <c r="B222">
        <v>220</v>
      </c>
      <c r="C222" t="s">
        <v>15</v>
      </c>
      <c r="D222">
        <v>220</v>
      </c>
      <c r="E222" s="13" t="s">
        <v>463</v>
      </c>
      <c r="F222">
        <v>60471</v>
      </c>
      <c r="G222" s="7">
        <v>46022</v>
      </c>
      <c r="H222" s="2" t="s">
        <v>464</v>
      </c>
      <c r="I222" s="2" t="s">
        <v>18</v>
      </c>
      <c r="J222" s="2" t="s">
        <v>25</v>
      </c>
      <c r="L222" s="2" t="s">
        <v>20</v>
      </c>
      <c r="M222" s="14" t="s">
        <v>26</v>
      </c>
      <c r="N222" s="2" t="s">
        <v>22</v>
      </c>
      <c r="O222" s="4">
        <v>19980</v>
      </c>
      <c r="P222">
        <v>23576.400000000001</v>
      </c>
      <c r="Q222" s="21">
        <f>Table1[[#This Row],[סכום כולל מע"מ]]-Table1[[#This Row],[סכום לפני מעמ2]]</f>
        <v>3596.4000000000015</v>
      </c>
    </row>
    <row r="223" spans="2:17" hidden="1" x14ac:dyDescent="0.25">
      <c r="B223">
        <v>221</v>
      </c>
      <c r="C223" t="s">
        <v>15</v>
      </c>
      <c r="D223">
        <v>221</v>
      </c>
      <c r="E223" s="13" t="s">
        <v>465</v>
      </c>
      <c r="F223">
        <v>60471</v>
      </c>
      <c r="G223" s="7">
        <v>46022</v>
      </c>
      <c r="H223" s="2" t="s">
        <v>466</v>
      </c>
      <c r="I223" s="2" t="s">
        <v>18</v>
      </c>
      <c r="J223" s="2" t="s">
        <v>25</v>
      </c>
      <c r="L223" s="2" t="s">
        <v>20</v>
      </c>
      <c r="M223" s="14" t="s">
        <v>26</v>
      </c>
      <c r="N223" s="2" t="s">
        <v>22</v>
      </c>
      <c r="O223" s="4">
        <v>19950</v>
      </c>
      <c r="P223">
        <v>23541</v>
      </c>
      <c r="Q223" s="21">
        <f>Table1[[#This Row],[סכום כולל מע"מ]]-Table1[[#This Row],[סכום לפני מעמ2]]</f>
        <v>3591</v>
      </c>
    </row>
    <row r="224" spans="2:17" hidden="1" x14ac:dyDescent="0.25">
      <c r="B224">
        <v>222</v>
      </c>
      <c r="C224" t="s">
        <v>15</v>
      </c>
      <c r="D224">
        <v>222</v>
      </c>
      <c r="E224" s="13" t="s">
        <v>467</v>
      </c>
      <c r="F224">
        <v>60471</v>
      </c>
      <c r="G224" s="7">
        <v>46022</v>
      </c>
      <c r="H224" s="2" t="s">
        <v>468</v>
      </c>
      <c r="I224" s="2" t="s">
        <v>18</v>
      </c>
      <c r="J224" s="2" t="s">
        <v>25</v>
      </c>
      <c r="L224" s="2" t="s">
        <v>20</v>
      </c>
      <c r="M224" s="14" t="s">
        <v>26</v>
      </c>
      <c r="N224" s="2" t="s">
        <v>22</v>
      </c>
      <c r="O224" s="4">
        <v>19950</v>
      </c>
      <c r="P224">
        <v>23541</v>
      </c>
      <c r="Q224" s="21">
        <f>Table1[[#This Row],[סכום כולל מע"מ]]-Table1[[#This Row],[סכום לפני מעמ2]]</f>
        <v>3591</v>
      </c>
    </row>
    <row r="225" spans="2:17" hidden="1" x14ac:dyDescent="0.25">
      <c r="B225">
        <v>223</v>
      </c>
      <c r="C225" t="s">
        <v>15</v>
      </c>
      <c r="D225">
        <v>223</v>
      </c>
      <c r="E225" s="13" t="s">
        <v>469</v>
      </c>
      <c r="F225">
        <v>60471</v>
      </c>
      <c r="G225" s="7">
        <v>46022</v>
      </c>
      <c r="H225" s="2" t="s">
        <v>470</v>
      </c>
      <c r="I225" s="2" t="s">
        <v>18</v>
      </c>
      <c r="J225" s="2" t="s">
        <v>25</v>
      </c>
      <c r="L225" s="2" t="s">
        <v>20</v>
      </c>
      <c r="M225" s="14" t="s">
        <v>26</v>
      </c>
      <c r="N225" s="2" t="s">
        <v>22</v>
      </c>
      <c r="O225" s="4">
        <v>19950</v>
      </c>
      <c r="P225">
        <v>23541</v>
      </c>
      <c r="Q225" s="21">
        <f>Table1[[#This Row],[סכום כולל מע"מ]]-Table1[[#This Row],[סכום לפני מעמ2]]</f>
        <v>3591</v>
      </c>
    </row>
    <row r="226" spans="2:17" hidden="1" x14ac:dyDescent="0.25">
      <c r="B226">
        <v>224</v>
      </c>
      <c r="C226" t="s">
        <v>15</v>
      </c>
      <c r="D226">
        <v>224</v>
      </c>
      <c r="E226" s="13" t="s">
        <v>471</v>
      </c>
      <c r="F226">
        <v>60471</v>
      </c>
      <c r="G226" s="7">
        <v>46022</v>
      </c>
      <c r="H226" s="2" t="s">
        <v>472</v>
      </c>
      <c r="I226" s="2" t="s">
        <v>18</v>
      </c>
      <c r="J226" s="2" t="s">
        <v>25</v>
      </c>
      <c r="L226" s="2" t="s">
        <v>20</v>
      </c>
      <c r="M226" s="14" t="s">
        <v>26</v>
      </c>
      <c r="N226" s="2" t="s">
        <v>22</v>
      </c>
      <c r="O226" s="4">
        <v>19980</v>
      </c>
      <c r="P226">
        <v>23576.400000000001</v>
      </c>
      <c r="Q226" s="21">
        <f>Table1[[#This Row],[סכום כולל מע"מ]]-Table1[[#This Row],[סכום לפני מעמ2]]</f>
        <v>3596.4000000000015</v>
      </c>
    </row>
    <row r="227" spans="2:17" hidden="1" x14ac:dyDescent="0.25">
      <c r="B227">
        <v>225</v>
      </c>
      <c r="C227" t="s">
        <v>15</v>
      </c>
      <c r="D227">
        <v>225</v>
      </c>
      <c r="E227" s="13" t="s">
        <v>473</v>
      </c>
      <c r="F227">
        <v>60471</v>
      </c>
      <c r="G227" s="7">
        <v>46022</v>
      </c>
      <c r="H227" s="2" t="s">
        <v>474</v>
      </c>
      <c r="I227" s="2" t="s">
        <v>18</v>
      </c>
      <c r="J227" s="2" t="s">
        <v>33</v>
      </c>
      <c r="L227" s="2" t="s">
        <v>20</v>
      </c>
      <c r="M227" s="14" t="s">
        <v>34</v>
      </c>
      <c r="N227" s="2" t="s">
        <v>22</v>
      </c>
      <c r="O227" s="4">
        <v>19995</v>
      </c>
      <c r="P227">
        <v>23594.1</v>
      </c>
      <c r="Q227" s="21">
        <f>Table1[[#This Row],[סכום כולל מע"מ]]-Table1[[#This Row],[סכום לפני מעמ2]]</f>
        <v>3599.0999999999985</v>
      </c>
    </row>
    <row r="228" spans="2:17" hidden="1" x14ac:dyDescent="0.25">
      <c r="B228">
        <v>226</v>
      </c>
      <c r="C228" t="s">
        <v>15</v>
      </c>
      <c r="D228">
        <v>226</v>
      </c>
      <c r="E228" s="13" t="s">
        <v>475</v>
      </c>
      <c r="F228">
        <v>60471</v>
      </c>
      <c r="G228" s="7">
        <v>46022</v>
      </c>
      <c r="H228" s="2" t="s">
        <v>476</v>
      </c>
      <c r="I228" s="2" t="s">
        <v>18</v>
      </c>
      <c r="J228" s="2" t="s">
        <v>59</v>
      </c>
      <c r="L228" s="2" t="s">
        <v>20</v>
      </c>
      <c r="M228" s="14" t="s">
        <v>60</v>
      </c>
      <c r="N228" s="2" t="s">
        <v>22</v>
      </c>
      <c r="O228" s="4">
        <v>19970</v>
      </c>
      <c r="P228">
        <v>23564.6</v>
      </c>
      <c r="Q228" s="21">
        <f>Table1[[#This Row],[סכום כולל מע"מ]]-Table1[[#This Row],[סכום לפני מעמ2]]</f>
        <v>3594.5999999999985</v>
      </c>
    </row>
    <row r="229" spans="2:17" hidden="1" x14ac:dyDescent="0.25">
      <c r="B229">
        <v>227</v>
      </c>
      <c r="C229" t="s">
        <v>15</v>
      </c>
      <c r="D229">
        <v>227</v>
      </c>
      <c r="E229" s="13" t="s">
        <v>477</v>
      </c>
      <c r="F229">
        <v>60471</v>
      </c>
      <c r="G229" s="7">
        <v>46022</v>
      </c>
      <c r="H229" s="2" t="s">
        <v>478</v>
      </c>
      <c r="I229" s="2" t="s">
        <v>18</v>
      </c>
      <c r="J229" s="2" t="s">
        <v>25</v>
      </c>
      <c r="L229" s="2" t="s">
        <v>20</v>
      </c>
      <c r="M229" s="14" t="s">
        <v>26</v>
      </c>
      <c r="N229" s="2" t="s">
        <v>22</v>
      </c>
      <c r="O229" s="4">
        <v>19950</v>
      </c>
      <c r="P229">
        <v>23541</v>
      </c>
      <c r="Q229" s="21">
        <f>Table1[[#This Row],[סכום כולל מע"מ]]-Table1[[#This Row],[סכום לפני מעמ2]]</f>
        <v>3591</v>
      </c>
    </row>
    <row r="230" spans="2:17" hidden="1" x14ac:dyDescent="0.25">
      <c r="B230">
        <v>228</v>
      </c>
      <c r="C230" t="s">
        <v>15</v>
      </c>
      <c r="D230">
        <v>228</v>
      </c>
      <c r="E230" s="13" t="s">
        <v>479</v>
      </c>
      <c r="F230">
        <v>60471</v>
      </c>
      <c r="G230" s="7">
        <v>46022</v>
      </c>
      <c r="H230" s="2" t="s">
        <v>480</v>
      </c>
      <c r="I230" s="2" t="s">
        <v>18</v>
      </c>
      <c r="J230" s="2" t="s">
        <v>25</v>
      </c>
      <c r="L230" s="2" t="s">
        <v>20</v>
      </c>
      <c r="M230" s="14" t="s">
        <v>26</v>
      </c>
      <c r="N230" s="2" t="s">
        <v>22</v>
      </c>
      <c r="O230" s="4">
        <v>19845</v>
      </c>
      <c r="P230">
        <v>23417.1</v>
      </c>
      <c r="Q230" s="21">
        <f>Table1[[#This Row],[סכום כולל מע"מ]]-Table1[[#This Row],[סכום לפני מעמ2]]</f>
        <v>3572.0999999999985</v>
      </c>
    </row>
    <row r="231" spans="2:17" hidden="1" x14ac:dyDescent="0.25">
      <c r="B231">
        <v>229</v>
      </c>
      <c r="C231" t="s">
        <v>15</v>
      </c>
      <c r="D231">
        <v>229</v>
      </c>
      <c r="E231" s="13" t="s">
        <v>481</v>
      </c>
      <c r="F231">
        <v>60471</v>
      </c>
      <c r="G231" s="7">
        <v>46022</v>
      </c>
      <c r="H231" s="2" t="s">
        <v>482</v>
      </c>
      <c r="I231" s="2" t="s">
        <v>18</v>
      </c>
      <c r="J231" s="2" t="s">
        <v>59</v>
      </c>
      <c r="L231" s="2" t="s">
        <v>20</v>
      </c>
      <c r="M231" s="14" t="s">
        <v>60</v>
      </c>
      <c r="N231" s="2" t="s">
        <v>22</v>
      </c>
      <c r="O231" s="4">
        <v>19995</v>
      </c>
      <c r="P231">
        <v>23594.1</v>
      </c>
      <c r="Q231" s="21">
        <f>Table1[[#This Row],[סכום כולל מע"מ]]-Table1[[#This Row],[סכום לפני מעמ2]]</f>
        <v>3599.0999999999985</v>
      </c>
    </row>
    <row r="232" spans="2:17" x14ac:dyDescent="0.25">
      <c r="B232">
        <v>230</v>
      </c>
      <c r="C232" t="s">
        <v>15</v>
      </c>
      <c r="D232">
        <v>230</v>
      </c>
      <c r="E232" s="13" t="s">
        <v>483</v>
      </c>
      <c r="F232">
        <v>60471</v>
      </c>
      <c r="G232" s="7">
        <v>46022</v>
      </c>
      <c r="H232" s="2" t="s">
        <v>484</v>
      </c>
      <c r="I232" s="2" t="s">
        <v>18</v>
      </c>
      <c r="J232" s="2" t="s">
        <v>25</v>
      </c>
      <c r="L232" s="2" t="s">
        <v>20</v>
      </c>
      <c r="M232" s="14" t="s">
        <v>26</v>
      </c>
      <c r="N232" s="2" t="s">
        <v>22</v>
      </c>
      <c r="O232" s="4">
        <v>1530</v>
      </c>
      <c r="P232">
        <v>1805.4</v>
      </c>
      <c r="Q232" s="21">
        <f>Table1[[#This Row],[סכום כולל מע"מ]]-Table1[[#This Row],[סכום לפני מעמ2]]</f>
        <v>275.40000000000009</v>
      </c>
    </row>
    <row r="233" spans="2:17" hidden="1" x14ac:dyDescent="0.25">
      <c r="B233">
        <v>231</v>
      </c>
      <c r="C233" t="s">
        <v>15</v>
      </c>
      <c r="D233">
        <v>231</v>
      </c>
      <c r="E233" s="13" t="s">
        <v>485</v>
      </c>
      <c r="F233">
        <v>60471</v>
      </c>
      <c r="G233" s="7">
        <v>46022</v>
      </c>
      <c r="H233" s="2" t="s">
        <v>486</v>
      </c>
      <c r="I233" s="2" t="s">
        <v>18</v>
      </c>
      <c r="J233" s="2" t="s">
        <v>25</v>
      </c>
      <c r="L233" s="2" t="s">
        <v>20</v>
      </c>
      <c r="M233" s="14" t="s">
        <v>26</v>
      </c>
      <c r="N233" s="2" t="s">
        <v>22</v>
      </c>
      <c r="O233" s="4">
        <v>19995</v>
      </c>
      <c r="P233">
        <v>23594.1</v>
      </c>
      <c r="Q233" s="21">
        <f>Table1[[#This Row],[סכום כולל מע"מ]]-Table1[[#This Row],[סכום לפני מעמ2]]</f>
        <v>3599.0999999999985</v>
      </c>
    </row>
    <row r="234" spans="2:17" hidden="1" x14ac:dyDescent="0.25">
      <c r="B234">
        <v>232</v>
      </c>
      <c r="C234" t="s">
        <v>15</v>
      </c>
      <c r="D234">
        <v>232</v>
      </c>
      <c r="E234" s="13" t="s">
        <v>487</v>
      </c>
      <c r="F234">
        <v>60471</v>
      </c>
      <c r="G234" s="7">
        <v>46022</v>
      </c>
      <c r="H234" s="2" t="s">
        <v>488</v>
      </c>
      <c r="I234" s="2" t="s">
        <v>18</v>
      </c>
      <c r="J234" s="2" t="s">
        <v>59</v>
      </c>
      <c r="L234" s="2" t="s">
        <v>20</v>
      </c>
      <c r="M234" s="14" t="s">
        <v>60</v>
      </c>
      <c r="N234" s="2" t="s">
        <v>22</v>
      </c>
      <c r="O234" s="4">
        <v>19970</v>
      </c>
      <c r="P234">
        <v>23564.6</v>
      </c>
      <c r="Q234" s="21">
        <f>Table1[[#This Row],[סכום כולל מע"מ]]-Table1[[#This Row],[סכום לפני מעמ2]]</f>
        <v>3594.5999999999985</v>
      </c>
    </row>
    <row r="235" spans="2:17" hidden="1" x14ac:dyDescent="0.25">
      <c r="B235">
        <v>233</v>
      </c>
      <c r="C235" t="s">
        <v>15</v>
      </c>
      <c r="D235">
        <v>233</v>
      </c>
      <c r="E235" s="13" t="s">
        <v>489</v>
      </c>
      <c r="F235">
        <v>60471</v>
      </c>
      <c r="G235" s="7">
        <v>46022</v>
      </c>
      <c r="H235" s="2" t="s">
        <v>490</v>
      </c>
      <c r="I235" s="2" t="s">
        <v>18</v>
      </c>
      <c r="J235" s="2" t="s">
        <v>25</v>
      </c>
      <c r="L235" s="2" t="s">
        <v>20</v>
      </c>
      <c r="M235" s="14" t="s">
        <v>26</v>
      </c>
      <c r="N235" s="2" t="s">
        <v>22</v>
      </c>
      <c r="O235" s="4">
        <v>19950</v>
      </c>
      <c r="P235">
        <v>23541</v>
      </c>
      <c r="Q235" s="21">
        <f>Table1[[#This Row],[סכום כולל מע"מ]]-Table1[[#This Row],[סכום לפני מעמ2]]</f>
        <v>3591</v>
      </c>
    </row>
    <row r="236" spans="2:17" hidden="1" x14ac:dyDescent="0.25">
      <c r="B236">
        <v>234</v>
      </c>
      <c r="C236" t="s">
        <v>15</v>
      </c>
      <c r="D236">
        <v>234</v>
      </c>
      <c r="E236" s="13" t="s">
        <v>491</v>
      </c>
      <c r="F236">
        <v>60471</v>
      </c>
      <c r="G236" s="7">
        <v>46022</v>
      </c>
      <c r="H236" s="2" t="s">
        <v>492</v>
      </c>
      <c r="I236" s="2" t="s">
        <v>18</v>
      </c>
      <c r="J236" s="2" t="s">
        <v>25</v>
      </c>
      <c r="L236" s="2" t="s">
        <v>20</v>
      </c>
      <c r="M236" s="14" t="s">
        <v>26</v>
      </c>
      <c r="N236" s="2" t="s">
        <v>22</v>
      </c>
      <c r="O236" s="4">
        <v>19871</v>
      </c>
      <c r="P236">
        <v>23447.78</v>
      </c>
      <c r="Q236" s="21">
        <f>Table1[[#This Row],[סכום כולל מע"מ]]-Table1[[#This Row],[סכום לפני מעמ2]]</f>
        <v>3576.7799999999988</v>
      </c>
    </row>
    <row r="237" spans="2:17" hidden="1" x14ac:dyDescent="0.25">
      <c r="B237">
        <v>235</v>
      </c>
      <c r="C237" t="s">
        <v>15</v>
      </c>
      <c r="D237">
        <v>235</v>
      </c>
      <c r="E237" s="13" t="s">
        <v>493</v>
      </c>
      <c r="F237">
        <v>60471</v>
      </c>
      <c r="G237" s="7">
        <v>46022</v>
      </c>
      <c r="H237" s="2" t="s">
        <v>494</v>
      </c>
      <c r="I237" s="2" t="s">
        <v>18</v>
      </c>
      <c r="J237" s="2" t="s">
        <v>25</v>
      </c>
      <c r="L237" s="2" t="s">
        <v>20</v>
      </c>
      <c r="M237" s="14" t="s">
        <v>26</v>
      </c>
      <c r="N237" s="2" t="s">
        <v>22</v>
      </c>
      <c r="O237" s="4">
        <v>19950</v>
      </c>
      <c r="P237">
        <v>23541</v>
      </c>
      <c r="Q237" s="21">
        <f>Table1[[#This Row],[סכום כולל מע"מ]]-Table1[[#This Row],[סכום לפני מעמ2]]</f>
        <v>3591</v>
      </c>
    </row>
    <row r="238" spans="2:17" x14ac:dyDescent="0.25">
      <c r="B238">
        <v>236</v>
      </c>
      <c r="C238" t="s">
        <v>15</v>
      </c>
      <c r="D238">
        <v>236</v>
      </c>
      <c r="E238" s="13" t="s">
        <v>495</v>
      </c>
      <c r="F238">
        <v>60471</v>
      </c>
      <c r="G238" s="7">
        <v>46022</v>
      </c>
      <c r="H238" s="2" t="s">
        <v>496</v>
      </c>
      <c r="I238" s="2" t="s">
        <v>18</v>
      </c>
      <c r="J238" s="2" t="s">
        <v>25</v>
      </c>
      <c r="L238" s="2" t="s">
        <v>20</v>
      </c>
      <c r="M238" s="14" t="s">
        <v>26</v>
      </c>
      <c r="N238" s="2" t="s">
        <v>22</v>
      </c>
      <c r="O238" s="4">
        <v>1530</v>
      </c>
      <c r="P238">
        <v>1805.4</v>
      </c>
      <c r="Q238" s="21">
        <f>Table1[[#This Row],[סכום כולל מע"מ]]-Table1[[#This Row],[סכום לפני מעמ2]]</f>
        <v>275.40000000000009</v>
      </c>
    </row>
    <row r="239" spans="2:17" x14ac:dyDescent="0.25">
      <c r="B239">
        <v>237</v>
      </c>
      <c r="C239" t="s">
        <v>15</v>
      </c>
      <c r="D239">
        <v>237</v>
      </c>
      <c r="E239" s="13" t="s">
        <v>497</v>
      </c>
      <c r="F239">
        <v>60471</v>
      </c>
      <c r="G239" s="7">
        <v>46022</v>
      </c>
      <c r="H239" s="2" t="s">
        <v>498</v>
      </c>
      <c r="I239" s="2" t="s">
        <v>18</v>
      </c>
      <c r="J239" s="2" t="s">
        <v>25</v>
      </c>
      <c r="L239" s="2" t="s">
        <v>20</v>
      </c>
      <c r="M239" s="14" t="s">
        <v>26</v>
      </c>
      <c r="N239" s="2" t="s">
        <v>22</v>
      </c>
      <c r="O239" s="4">
        <v>1530</v>
      </c>
      <c r="P239">
        <v>1805.4</v>
      </c>
      <c r="Q239" s="21">
        <f>Table1[[#This Row],[סכום כולל מע"מ]]-Table1[[#This Row],[סכום לפני מעמ2]]</f>
        <v>275.40000000000009</v>
      </c>
    </row>
    <row r="240" spans="2:17" hidden="1" x14ac:dyDescent="0.25">
      <c r="B240">
        <v>238</v>
      </c>
      <c r="C240" t="s">
        <v>15</v>
      </c>
      <c r="D240">
        <v>238</v>
      </c>
      <c r="E240" s="13" t="s">
        <v>499</v>
      </c>
      <c r="F240">
        <v>60471</v>
      </c>
      <c r="G240" s="7">
        <v>46022</v>
      </c>
      <c r="H240" s="2" t="s">
        <v>500</v>
      </c>
      <c r="I240" s="2" t="s">
        <v>18</v>
      </c>
      <c r="J240" s="2" t="s">
        <v>25</v>
      </c>
      <c r="L240" s="2" t="s">
        <v>20</v>
      </c>
      <c r="M240" s="14" t="s">
        <v>26</v>
      </c>
      <c r="N240" s="2" t="s">
        <v>22</v>
      </c>
      <c r="O240" s="4">
        <v>19950</v>
      </c>
      <c r="P240">
        <v>23541</v>
      </c>
      <c r="Q240" s="21">
        <f>Table1[[#This Row],[סכום כולל מע"מ]]-Table1[[#This Row],[סכום לפני מעמ2]]</f>
        <v>3591</v>
      </c>
    </row>
    <row r="241" spans="2:17" hidden="1" x14ac:dyDescent="0.25">
      <c r="B241">
        <v>239</v>
      </c>
      <c r="C241" t="s">
        <v>15</v>
      </c>
      <c r="D241">
        <v>239</v>
      </c>
      <c r="E241" s="13" t="s">
        <v>501</v>
      </c>
      <c r="F241">
        <v>60471</v>
      </c>
      <c r="G241" s="7">
        <v>46022</v>
      </c>
      <c r="H241" s="2" t="s">
        <v>502</v>
      </c>
      <c r="I241" s="2" t="s">
        <v>18</v>
      </c>
      <c r="J241" s="2" t="s">
        <v>25</v>
      </c>
      <c r="L241" s="2" t="s">
        <v>20</v>
      </c>
      <c r="M241" s="14" t="s">
        <v>26</v>
      </c>
      <c r="N241" s="2" t="s">
        <v>22</v>
      </c>
      <c r="O241" s="4">
        <v>19950</v>
      </c>
      <c r="P241">
        <v>23541</v>
      </c>
      <c r="Q241" s="21">
        <f>Table1[[#This Row],[סכום כולל מע"מ]]-Table1[[#This Row],[סכום לפני מעמ2]]</f>
        <v>3591</v>
      </c>
    </row>
    <row r="242" spans="2:17" hidden="1" x14ac:dyDescent="0.25">
      <c r="B242">
        <v>240</v>
      </c>
      <c r="C242" t="s">
        <v>15</v>
      </c>
      <c r="D242">
        <v>240</v>
      </c>
      <c r="E242" s="13" t="s">
        <v>503</v>
      </c>
      <c r="F242">
        <v>60471</v>
      </c>
      <c r="G242" s="7">
        <v>46022</v>
      </c>
      <c r="H242" s="2" t="s">
        <v>504</v>
      </c>
      <c r="I242" s="2" t="s">
        <v>18</v>
      </c>
      <c r="J242" s="2" t="s">
        <v>25</v>
      </c>
      <c r="L242" s="2" t="s">
        <v>20</v>
      </c>
      <c r="M242" s="14" t="s">
        <v>26</v>
      </c>
      <c r="N242" s="2" t="s">
        <v>22</v>
      </c>
      <c r="O242" s="4">
        <v>19950</v>
      </c>
      <c r="P242">
        <v>23541</v>
      </c>
      <c r="Q242" s="21">
        <f>Table1[[#This Row],[סכום כולל מע"מ]]-Table1[[#This Row],[סכום לפני מעמ2]]</f>
        <v>3591</v>
      </c>
    </row>
    <row r="243" spans="2:17" hidden="1" x14ac:dyDescent="0.25">
      <c r="B243">
        <v>241</v>
      </c>
      <c r="C243" t="s">
        <v>15</v>
      </c>
      <c r="D243">
        <v>241</v>
      </c>
      <c r="E243" s="13" t="s">
        <v>505</v>
      </c>
      <c r="F243">
        <v>60471</v>
      </c>
      <c r="G243" s="7">
        <v>46022</v>
      </c>
      <c r="H243" s="2" t="s">
        <v>506</v>
      </c>
      <c r="I243" s="2" t="s">
        <v>18</v>
      </c>
      <c r="J243" s="2" t="s">
        <v>25</v>
      </c>
      <c r="L243" s="2" t="s">
        <v>20</v>
      </c>
      <c r="M243" s="14" t="s">
        <v>26</v>
      </c>
      <c r="N243" s="2" t="s">
        <v>22</v>
      </c>
      <c r="O243" s="4">
        <v>19950</v>
      </c>
      <c r="P243">
        <v>23541</v>
      </c>
      <c r="Q243" s="21">
        <f>Table1[[#This Row],[סכום כולל מע"מ]]-Table1[[#This Row],[סכום לפני מעמ2]]</f>
        <v>3591</v>
      </c>
    </row>
    <row r="244" spans="2:17" hidden="1" x14ac:dyDescent="0.25">
      <c r="B244">
        <v>242</v>
      </c>
      <c r="C244" t="s">
        <v>15</v>
      </c>
      <c r="D244">
        <v>242</v>
      </c>
      <c r="E244" s="13" t="s">
        <v>507</v>
      </c>
      <c r="F244">
        <v>60471</v>
      </c>
      <c r="G244" s="7">
        <v>46022</v>
      </c>
      <c r="H244" s="2" t="s">
        <v>508</v>
      </c>
      <c r="I244" s="2" t="s">
        <v>18</v>
      </c>
      <c r="J244" s="2" t="s">
        <v>19</v>
      </c>
      <c r="L244" s="2" t="s">
        <v>20</v>
      </c>
      <c r="M244" s="14" t="s">
        <v>21</v>
      </c>
      <c r="N244" s="2" t="s">
        <v>22</v>
      </c>
      <c r="O244" s="4">
        <v>19950</v>
      </c>
      <c r="P244">
        <v>23541</v>
      </c>
      <c r="Q244" s="21">
        <f>Table1[[#This Row],[סכום כולל מע"מ]]-Table1[[#This Row],[סכום לפני מעמ2]]</f>
        <v>3591</v>
      </c>
    </row>
    <row r="245" spans="2:17" hidden="1" x14ac:dyDescent="0.25">
      <c r="B245">
        <v>243</v>
      </c>
      <c r="C245" t="s">
        <v>15</v>
      </c>
      <c r="D245">
        <v>243</v>
      </c>
      <c r="E245" s="13" t="s">
        <v>509</v>
      </c>
      <c r="F245">
        <v>60471</v>
      </c>
      <c r="G245" s="7">
        <v>46022</v>
      </c>
      <c r="H245" s="2" t="s">
        <v>510</v>
      </c>
      <c r="I245" s="2" t="s">
        <v>18</v>
      </c>
      <c r="J245" s="2" t="s">
        <v>25</v>
      </c>
      <c r="L245" s="2" t="s">
        <v>20</v>
      </c>
      <c r="M245" s="14" t="s">
        <v>26</v>
      </c>
      <c r="N245" s="2" t="s">
        <v>22</v>
      </c>
      <c r="O245" s="4">
        <v>19950</v>
      </c>
      <c r="P245">
        <v>23541</v>
      </c>
      <c r="Q245" s="21">
        <f>Table1[[#This Row],[סכום כולל מע"מ]]-Table1[[#This Row],[סכום לפני מעמ2]]</f>
        <v>3591</v>
      </c>
    </row>
    <row r="246" spans="2:17" hidden="1" x14ac:dyDescent="0.25">
      <c r="B246">
        <v>244</v>
      </c>
      <c r="C246" t="s">
        <v>15</v>
      </c>
      <c r="D246">
        <v>244</v>
      </c>
      <c r="E246" s="13" t="s">
        <v>511</v>
      </c>
      <c r="F246">
        <v>60471</v>
      </c>
      <c r="G246" s="7">
        <v>46022</v>
      </c>
      <c r="H246" s="2" t="s">
        <v>512</v>
      </c>
      <c r="I246" s="2" t="s">
        <v>18</v>
      </c>
      <c r="J246" s="2" t="s">
        <v>19</v>
      </c>
      <c r="L246" s="2" t="s">
        <v>20</v>
      </c>
      <c r="M246" s="14" t="s">
        <v>21</v>
      </c>
      <c r="N246" s="2" t="s">
        <v>22</v>
      </c>
      <c r="O246" s="4">
        <v>19995</v>
      </c>
      <c r="P246">
        <v>23594.1</v>
      </c>
      <c r="Q246" s="21">
        <f>Table1[[#This Row],[סכום כולל מע"מ]]-Table1[[#This Row],[סכום לפני מעמ2]]</f>
        <v>3599.0999999999985</v>
      </c>
    </row>
    <row r="247" spans="2:17" hidden="1" x14ac:dyDescent="0.25">
      <c r="B247">
        <v>245</v>
      </c>
      <c r="C247" t="s">
        <v>15</v>
      </c>
      <c r="D247">
        <v>245</v>
      </c>
      <c r="E247" s="13" t="s">
        <v>513</v>
      </c>
      <c r="F247">
        <v>60471</v>
      </c>
      <c r="G247" s="7">
        <v>46022</v>
      </c>
      <c r="H247" s="2" t="s">
        <v>514</v>
      </c>
      <c r="I247" s="2" t="s">
        <v>18</v>
      </c>
      <c r="J247" s="2" t="s">
        <v>25</v>
      </c>
      <c r="L247" s="2" t="s">
        <v>20</v>
      </c>
      <c r="M247" s="14" t="s">
        <v>26</v>
      </c>
      <c r="N247" s="2" t="s">
        <v>22</v>
      </c>
      <c r="O247" s="4">
        <v>19980</v>
      </c>
      <c r="P247">
        <v>23576.400000000001</v>
      </c>
      <c r="Q247" s="21">
        <f>Table1[[#This Row],[סכום כולל מע"מ]]-Table1[[#This Row],[סכום לפני מעמ2]]</f>
        <v>3596.4000000000015</v>
      </c>
    </row>
    <row r="248" spans="2:17" x14ac:dyDescent="0.25">
      <c r="B248">
        <v>246</v>
      </c>
      <c r="C248" t="s">
        <v>15</v>
      </c>
      <c r="D248">
        <v>246</v>
      </c>
      <c r="E248" s="13" t="s">
        <v>515</v>
      </c>
      <c r="F248">
        <v>60471</v>
      </c>
      <c r="G248" s="7">
        <v>46022</v>
      </c>
      <c r="H248" s="2" t="s">
        <v>516</v>
      </c>
      <c r="I248" s="2" t="s">
        <v>18</v>
      </c>
      <c r="J248" s="2" t="s">
        <v>25</v>
      </c>
      <c r="L248" s="2" t="s">
        <v>20</v>
      </c>
      <c r="M248" s="14" t="s">
        <v>26</v>
      </c>
      <c r="N248" s="2" t="s">
        <v>22</v>
      </c>
      <c r="O248" s="4">
        <v>1530</v>
      </c>
      <c r="P248">
        <v>1805.4</v>
      </c>
      <c r="Q248" s="21">
        <f>Table1[[#This Row],[סכום כולל מע"מ]]-Table1[[#This Row],[סכום לפני מעמ2]]</f>
        <v>275.40000000000009</v>
      </c>
    </row>
    <row r="249" spans="2:17" hidden="1" x14ac:dyDescent="0.25">
      <c r="B249">
        <v>247</v>
      </c>
      <c r="C249" t="s">
        <v>15</v>
      </c>
      <c r="D249">
        <v>247</v>
      </c>
      <c r="E249" s="13" t="s">
        <v>517</v>
      </c>
      <c r="F249">
        <v>60471</v>
      </c>
      <c r="G249" s="7">
        <v>46022</v>
      </c>
      <c r="H249" s="2" t="s">
        <v>518</v>
      </c>
      <c r="I249" s="2" t="s">
        <v>18</v>
      </c>
      <c r="J249" s="2" t="s">
        <v>59</v>
      </c>
      <c r="L249" s="2" t="s">
        <v>20</v>
      </c>
      <c r="M249" s="14" t="s">
        <v>60</v>
      </c>
      <c r="N249" s="2" t="s">
        <v>22</v>
      </c>
      <c r="O249" s="4">
        <v>19995</v>
      </c>
      <c r="P249">
        <v>23594.1</v>
      </c>
      <c r="Q249" s="21">
        <f>Table1[[#This Row],[סכום כולל מע"מ]]-Table1[[#This Row],[סכום לפני מעמ2]]</f>
        <v>3599.0999999999985</v>
      </c>
    </row>
    <row r="250" spans="2:17" hidden="1" x14ac:dyDescent="0.25">
      <c r="B250">
        <v>248</v>
      </c>
      <c r="C250" t="s">
        <v>15</v>
      </c>
      <c r="D250">
        <v>248</v>
      </c>
      <c r="E250" s="13" t="s">
        <v>519</v>
      </c>
      <c r="F250">
        <v>60471</v>
      </c>
      <c r="G250" s="7">
        <v>46022</v>
      </c>
      <c r="H250" s="2" t="s">
        <v>520</v>
      </c>
      <c r="I250" s="2" t="s">
        <v>18</v>
      </c>
      <c r="J250" s="2" t="s">
        <v>25</v>
      </c>
      <c r="L250" s="2" t="s">
        <v>20</v>
      </c>
      <c r="M250" s="14" t="s">
        <v>26</v>
      </c>
      <c r="N250" s="2" t="s">
        <v>22</v>
      </c>
      <c r="O250" s="4">
        <v>19950</v>
      </c>
      <c r="P250">
        <v>23541</v>
      </c>
      <c r="Q250" s="21">
        <f>Table1[[#This Row],[סכום כולל מע"מ]]-Table1[[#This Row],[סכום לפני מעמ2]]</f>
        <v>3591</v>
      </c>
    </row>
    <row r="251" spans="2:17" x14ac:dyDescent="0.25">
      <c r="B251">
        <v>249</v>
      </c>
      <c r="C251" t="s">
        <v>15</v>
      </c>
      <c r="D251">
        <v>249</v>
      </c>
      <c r="E251" s="13" t="s">
        <v>521</v>
      </c>
      <c r="F251">
        <v>60471</v>
      </c>
      <c r="G251" s="7">
        <v>46022</v>
      </c>
      <c r="H251" s="2" t="s">
        <v>522</v>
      </c>
      <c r="I251" s="2" t="s">
        <v>18</v>
      </c>
      <c r="J251" s="2" t="s">
        <v>25</v>
      </c>
      <c r="L251" s="2" t="s">
        <v>20</v>
      </c>
      <c r="M251" s="14" t="s">
        <v>26</v>
      </c>
      <c r="N251" s="2" t="s">
        <v>22</v>
      </c>
      <c r="O251" s="4">
        <v>1530</v>
      </c>
      <c r="P251">
        <v>1805.4</v>
      </c>
      <c r="Q251" s="21">
        <f>Table1[[#This Row],[סכום כולל מע"מ]]-Table1[[#This Row],[סכום לפני מעמ2]]</f>
        <v>275.40000000000009</v>
      </c>
    </row>
    <row r="252" spans="2:17" hidden="1" x14ac:dyDescent="0.25">
      <c r="B252">
        <v>250</v>
      </c>
      <c r="C252" t="s">
        <v>15</v>
      </c>
      <c r="D252">
        <v>250</v>
      </c>
      <c r="E252" s="13" t="s">
        <v>523</v>
      </c>
      <c r="F252">
        <v>60471</v>
      </c>
      <c r="G252" s="7">
        <v>46022</v>
      </c>
      <c r="H252" s="2" t="s">
        <v>524</v>
      </c>
      <c r="I252" s="2" t="s">
        <v>18</v>
      </c>
      <c r="J252" s="2" t="s">
        <v>25</v>
      </c>
      <c r="L252" s="2" t="s">
        <v>20</v>
      </c>
      <c r="M252" s="14" t="s">
        <v>26</v>
      </c>
      <c r="N252" s="2" t="s">
        <v>22</v>
      </c>
      <c r="O252" s="4">
        <v>19950</v>
      </c>
      <c r="P252">
        <v>23541</v>
      </c>
      <c r="Q252" s="21">
        <f>Table1[[#This Row],[סכום כולל מע"מ]]-Table1[[#This Row],[סכום לפני מעמ2]]</f>
        <v>3591</v>
      </c>
    </row>
    <row r="253" spans="2:17" hidden="1" x14ac:dyDescent="0.25">
      <c r="B253">
        <v>251</v>
      </c>
      <c r="C253" t="s">
        <v>15</v>
      </c>
      <c r="D253">
        <v>251</v>
      </c>
      <c r="E253" s="13" t="s">
        <v>525</v>
      </c>
      <c r="F253">
        <v>60471</v>
      </c>
      <c r="G253" s="7">
        <v>46022</v>
      </c>
      <c r="H253" s="2" t="s">
        <v>526</v>
      </c>
      <c r="I253" s="2" t="s">
        <v>18</v>
      </c>
      <c r="J253" s="2" t="s">
        <v>25</v>
      </c>
      <c r="L253" s="2" t="s">
        <v>20</v>
      </c>
      <c r="M253" s="14" t="s">
        <v>26</v>
      </c>
      <c r="N253" s="2" t="s">
        <v>22</v>
      </c>
      <c r="O253" s="4">
        <v>19950</v>
      </c>
      <c r="P253">
        <v>23541</v>
      </c>
      <c r="Q253" s="21">
        <f>Table1[[#This Row],[סכום כולל מע"מ]]-Table1[[#This Row],[סכום לפני מעמ2]]</f>
        <v>3591</v>
      </c>
    </row>
    <row r="254" spans="2:17" hidden="1" x14ac:dyDescent="0.25">
      <c r="B254">
        <v>252</v>
      </c>
      <c r="C254" t="s">
        <v>15</v>
      </c>
      <c r="D254">
        <v>252</v>
      </c>
      <c r="E254" s="13" t="s">
        <v>527</v>
      </c>
      <c r="F254">
        <v>60471</v>
      </c>
      <c r="G254" s="7">
        <v>46022</v>
      </c>
      <c r="H254" s="2" t="s">
        <v>528</v>
      </c>
      <c r="I254" s="2" t="s">
        <v>18</v>
      </c>
      <c r="J254" s="2" t="s">
        <v>19</v>
      </c>
      <c r="L254" s="2" t="s">
        <v>20</v>
      </c>
      <c r="M254" s="14" t="s">
        <v>21</v>
      </c>
      <c r="N254" s="2" t="s">
        <v>22</v>
      </c>
      <c r="O254" s="4">
        <v>19995</v>
      </c>
      <c r="P254">
        <v>23594.1</v>
      </c>
      <c r="Q254" s="21">
        <f>Table1[[#This Row],[סכום כולל מע"מ]]-Table1[[#This Row],[סכום לפני מעמ2]]</f>
        <v>3599.0999999999985</v>
      </c>
    </row>
    <row r="255" spans="2:17" hidden="1" x14ac:dyDescent="0.25">
      <c r="B255">
        <v>253</v>
      </c>
      <c r="C255" t="s">
        <v>15</v>
      </c>
      <c r="D255">
        <v>253</v>
      </c>
      <c r="E255" s="13" t="s">
        <v>529</v>
      </c>
      <c r="F255">
        <v>60471</v>
      </c>
      <c r="G255" s="7">
        <v>46022</v>
      </c>
      <c r="H255" s="2" t="s">
        <v>530</v>
      </c>
      <c r="I255" s="2" t="s">
        <v>18</v>
      </c>
      <c r="J255" s="2" t="s">
        <v>25</v>
      </c>
      <c r="L255" s="2" t="s">
        <v>20</v>
      </c>
      <c r="M255" s="14" t="s">
        <v>26</v>
      </c>
      <c r="N255" s="2" t="s">
        <v>22</v>
      </c>
      <c r="O255" s="4">
        <v>19950</v>
      </c>
      <c r="P255">
        <v>23541</v>
      </c>
      <c r="Q255" s="21">
        <f>Table1[[#This Row],[סכום כולל מע"מ]]-Table1[[#This Row],[סכום לפני מעמ2]]</f>
        <v>3591</v>
      </c>
    </row>
    <row r="256" spans="2:17" hidden="1" x14ac:dyDescent="0.25">
      <c r="B256">
        <v>254</v>
      </c>
      <c r="C256" t="s">
        <v>15</v>
      </c>
      <c r="D256">
        <v>254</v>
      </c>
      <c r="E256" s="13" t="s">
        <v>531</v>
      </c>
      <c r="F256">
        <v>60471</v>
      </c>
      <c r="G256" s="7">
        <v>46022</v>
      </c>
      <c r="H256" s="2" t="s">
        <v>532</v>
      </c>
      <c r="I256" s="2" t="s">
        <v>18</v>
      </c>
      <c r="J256" s="2" t="s">
        <v>19</v>
      </c>
      <c r="L256" s="2" t="s">
        <v>20</v>
      </c>
      <c r="M256" s="14" t="s">
        <v>21</v>
      </c>
      <c r="N256" s="2" t="s">
        <v>22</v>
      </c>
      <c r="O256" s="4">
        <v>19950</v>
      </c>
      <c r="P256">
        <v>23541</v>
      </c>
      <c r="Q256" s="21">
        <f>Table1[[#This Row],[סכום כולל מע"מ]]-Table1[[#This Row],[סכום לפני מעמ2]]</f>
        <v>3591</v>
      </c>
    </row>
    <row r="257" spans="2:17" hidden="1" x14ac:dyDescent="0.25">
      <c r="B257">
        <v>255</v>
      </c>
      <c r="C257" t="s">
        <v>15</v>
      </c>
      <c r="D257">
        <v>255</v>
      </c>
      <c r="E257" s="13" t="s">
        <v>533</v>
      </c>
      <c r="F257">
        <v>60471</v>
      </c>
      <c r="G257" s="7">
        <v>46022</v>
      </c>
      <c r="H257" s="2" t="s">
        <v>534</v>
      </c>
      <c r="I257" s="2" t="s">
        <v>18</v>
      </c>
      <c r="J257" s="2" t="s">
        <v>25</v>
      </c>
      <c r="L257" s="2" t="s">
        <v>20</v>
      </c>
      <c r="M257" s="14" t="s">
        <v>26</v>
      </c>
      <c r="N257" s="2" t="s">
        <v>22</v>
      </c>
      <c r="O257" s="4">
        <v>19950</v>
      </c>
      <c r="P257">
        <v>23541</v>
      </c>
      <c r="Q257" s="21">
        <f>Table1[[#This Row],[סכום כולל מע"מ]]-Table1[[#This Row],[סכום לפני מעמ2]]</f>
        <v>3591</v>
      </c>
    </row>
    <row r="258" spans="2:17" hidden="1" x14ac:dyDescent="0.25">
      <c r="B258">
        <v>256</v>
      </c>
      <c r="C258" t="s">
        <v>15</v>
      </c>
      <c r="D258">
        <v>256</v>
      </c>
      <c r="E258" s="13" t="s">
        <v>535</v>
      </c>
      <c r="F258">
        <v>60471</v>
      </c>
      <c r="G258" s="7">
        <v>46022</v>
      </c>
      <c r="H258" s="2" t="s">
        <v>536</v>
      </c>
      <c r="I258" s="2" t="s">
        <v>18</v>
      </c>
      <c r="J258" s="2" t="s">
        <v>25</v>
      </c>
      <c r="L258" s="2" t="s">
        <v>20</v>
      </c>
      <c r="M258" s="14" t="s">
        <v>26</v>
      </c>
      <c r="N258" s="2" t="s">
        <v>22</v>
      </c>
      <c r="O258" s="4">
        <v>19950</v>
      </c>
      <c r="P258">
        <v>23541</v>
      </c>
      <c r="Q258" s="21">
        <f>Table1[[#This Row],[סכום כולל מע"מ]]-Table1[[#This Row],[סכום לפני מעמ2]]</f>
        <v>3591</v>
      </c>
    </row>
    <row r="259" spans="2:17" hidden="1" x14ac:dyDescent="0.25">
      <c r="B259">
        <v>257</v>
      </c>
      <c r="C259" t="s">
        <v>15</v>
      </c>
      <c r="D259">
        <v>257</v>
      </c>
      <c r="E259" s="13" t="s">
        <v>537</v>
      </c>
      <c r="F259">
        <v>60471</v>
      </c>
      <c r="G259" s="7">
        <v>46022</v>
      </c>
      <c r="H259" s="2" t="s">
        <v>538</v>
      </c>
      <c r="I259" s="2" t="s">
        <v>18</v>
      </c>
      <c r="J259" s="2" t="s">
        <v>25</v>
      </c>
      <c r="L259" s="2" t="s">
        <v>20</v>
      </c>
      <c r="M259" s="14" t="s">
        <v>26</v>
      </c>
      <c r="N259" s="2" t="s">
        <v>22</v>
      </c>
      <c r="O259" s="4">
        <v>19950</v>
      </c>
      <c r="P259">
        <v>23541</v>
      </c>
      <c r="Q259" s="21">
        <f>Table1[[#This Row],[סכום כולל מע"מ]]-Table1[[#This Row],[סכום לפני מעמ2]]</f>
        <v>3591</v>
      </c>
    </row>
    <row r="260" spans="2:17" x14ac:dyDescent="0.25">
      <c r="B260">
        <v>258</v>
      </c>
      <c r="C260" t="s">
        <v>15</v>
      </c>
      <c r="D260">
        <v>258</v>
      </c>
      <c r="E260" s="13" t="s">
        <v>539</v>
      </c>
      <c r="F260">
        <v>60471</v>
      </c>
      <c r="G260" s="7">
        <v>46022</v>
      </c>
      <c r="H260" s="2" t="s">
        <v>540</v>
      </c>
      <c r="I260" s="2" t="s">
        <v>18</v>
      </c>
      <c r="J260" s="2" t="s">
        <v>25</v>
      </c>
      <c r="L260" s="2" t="s">
        <v>20</v>
      </c>
      <c r="M260" s="14" t="s">
        <v>26</v>
      </c>
      <c r="N260" s="2" t="s">
        <v>22</v>
      </c>
      <c r="O260" s="4">
        <v>1530</v>
      </c>
      <c r="P260">
        <v>1805.4</v>
      </c>
      <c r="Q260" s="21">
        <f>Table1[[#This Row],[סכום כולל מע"מ]]-Table1[[#This Row],[סכום לפני מעמ2]]</f>
        <v>275.40000000000009</v>
      </c>
    </row>
    <row r="261" spans="2:17" hidden="1" x14ac:dyDescent="0.25">
      <c r="B261">
        <v>259</v>
      </c>
      <c r="C261" t="s">
        <v>15</v>
      </c>
      <c r="D261">
        <v>259</v>
      </c>
      <c r="E261" s="13" t="s">
        <v>541</v>
      </c>
      <c r="F261">
        <v>60471</v>
      </c>
      <c r="G261" s="7">
        <v>46022</v>
      </c>
      <c r="H261" s="2" t="s">
        <v>542</v>
      </c>
      <c r="I261" s="2" t="s">
        <v>18</v>
      </c>
      <c r="J261" s="2" t="s">
        <v>59</v>
      </c>
      <c r="L261" s="2" t="s">
        <v>20</v>
      </c>
      <c r="M261" s="14" t="s">
        <v>60</v>
      </c>
      <c r="N261" s="2" t="s">
        <v>22</v>
      </c>
      <c r="O261" s="4">
        <v>19970</v>
      </c>
      <c r="P261">
        <v>23564.6</v>
      </c>
      <c r="Q261" s="21">
        <f>Table1[[#This Row],[סכום כולל מע"מ]]-Table1[[#This Row],[סכום לפני מעמ2]]</f>
        <v>3594.5999999999985</v>
      </c>
    </row>
    <row r="262" spans="2:17" hidden="1" x14ac:dyDescent="0.25">
      <c r="B262">
        <v>260</v>
      </c>
      <c r="C262" t="s">
        <v>15</v>
      </c>
      <c r="D262">
        <v>260</v>
      </c>
      <c r="E262" s="13" t="s">
        <v>543</v>
      </c>
      <c r="F262">
        <v>60471</v>
      </c>
      <c r="G262" s="7">
        <v>46022</v>
      </c>
      <c r="H262" s="2" t="s">
        <v>544</v>
      </c>
      <c r="I262" s="2" t="s">
        <v>18</v>
      </c>
      <c r="J262" s="2" t="s">
        <v>59</v>
      </c>
      <c r="L262" s="2" t="s">
        <v>20</v>
      </c>
      <c r="M262" s="14" t="s">
        <v>60</v>
      </c>
      <c r="N262" s="2" t="s">
        <v>22</v>
      </c>
      <c r="O262" s="4">
        <v>19970</v>
      </c>
      <c r="P262">
        <v>23564.6</v>
      </c>
      <c r="Q262" s="21">
        <f>Table1[[#This Row],[סכום כולל מע"מ]]-Table1[[#This Row],[סכום לפני מעמ2]]</f>
        <v>3594.5999999999985</v>
      </c>
    </row>
    <row r="263" spans="2:17" hidden="1" x14ac:dyDescent="0.25">
      <c r="B263">
        <v>261</v>
      </c>
      <c r="C263" t="s">
        <v>15</v>
      </c>
      <c r="D263">
        <v>261</v>
      </c>
      <c r="E263" s="13" t="s">
        <v>545</v>
      </c>
      <c r="F263">
        <v>60471</v>
      </c>
      <c r="G263" s="7">
        <v>46022</v>
      </c>
      <c r="H263" s="2" t="s">
        <v>546</v>
      </c>
      <c r="I263" s="2" t="s">
        <v>18</v>
      </c>
      <c r="J263" s="2" t="s">
        <v>25</v>
      </c>
      <c r="L263" s="2" t="s">
        <v>20</v>
      </c>
      <c r="M263" s="14" t="s">
        <v>26</v>
      </c>
      <c r="N263" s="2" t="s">
        <v>22</v>
      </c>
      <c r="O263" s="4">
        <v>19745</v>
      </c>
      <c r="P263">
        <v>23299.1</v>
      </c>
      <c r="Q263" s="21">
        <f>Table1[[#This Row],[סכום כולל מע"מ]]-Table1[[#This Row],[סכום לפני מעמ2]]</f>
        <v>3554.0999999999985</v>
      </c>
    </row>
    <row r="264" spans="2:17" x14ac:dyDescent="0.25">
      <c r="B264">
        <v>262</v>
      </c>
      <c r="C264" t="s">
        <v>15</v>
      </c>
      <c r="D264">
        <v>262</v>
      </c>
      <c r="E264" s="13" t="s">
        <v>547</v>
      </c>
      <c r="F264">
        <v>60471</v>
      </c>
      <c r="G264" s="7">
        <v>46022</v>
      </c>
      <c r="H264" s="2" t="s">
        <v>548</v>
      </c>
      <c r="I264" s="2" t="s">
        <v>18</v>
      </c>
      <c r="J264" s="2" t="s">
        <v>25</v>
      </c>
      <c r="L264" s="2" t="s">
        <v>20</v>
      </c>
      <c r="M264" s="14" t="s">
        <v>26</v>
      </c>
      <c r="N264" s="2" t="s">
        <v>22</v>
      </c>
      <c r="O264" s="4">
        <v>1530</v>
      </c>
      <c r="P264">
        <v>1805.4</v>
      </c>
      <c r="Q264" s="21">
        <f>Table1[[#This Row],[סכום כולל מע"מ]]-Table1[[#This Row],[סכום לפני מעמ2]]</f>
        <v>275.40000000000009</v>
      </c>
    </row>
    <row r="265" spans="2:17" x14ac:dyDescent="0.25">
      <c r="B265">
        <v>263</v>
      </c>
      <c r="C265" t="s">
        <v>15</v>
      </c>
      <c r="D265">
        <v>263</v>
      </c>
      <c r="E265" s="13" t="s">
        <v>549</v>
      </c>
      <c r="F265">
        <v>60471</v>
      </c>
      <c r="G265" s="7">
        <v>46022</v>
      </c>
      <c r="H265" s="2" t="s">
        <v>550</v>
      </c>
      <c r="I265" s="2" t="s">
        <v>18</v>
      </c>
      <c r="J265" s="2" t="s">
        <v>25</v>
      </c>
      <c r="L265" s="2" t="s">
        <v>20</v>
      </c>
      <c r="M265" s="14" t="s">
        <v>26</v>
      </c>
      <c r="N265" s="2" t="s">
        <v>22</v>
      </c>
      <c r="O265" s="4">
        <v>1530</v>
      </c>
      <c r="P265">
        <v>1805.4</v>
      </c>
      <c r="Q265" s="21">
        <f>Table1[[#This Row],[סכום כולל מע"מ]]-Table1[[#This Row],[סכום לפני מעמ2]]</f>
        <v>275.40000000000009</v>
      </c>
    </row>
    <row r="266" spans="2:17" hidden="1" x14ac:dyDescent="0.25">
      <c r="B266">
        <v>264</v>
      </c>
      <c r="C266" t="s">
        <v>15</v>
      </c>
      <c r="D266">
        <v>264</v>
      </c>
      <c r="E266" s="13" t="s">
        <v>551</v>
      </c>
      <c r="F266">
        <v>60471</v>
      </c>
      <c r="G266" s="7">
        <v>46022</v>
      </c>
      <c r="H266" s="2" t="s">
        <v>552</v>
      </c>
      <c r="I266" s="2" t="s">
        <v>18</v>
      </c>
      <c r="J266" s="2" t="s">
        <v>19</v>
      </c>
      <c r="L266" s="2" t="s">
        <v>20</v>
      </c>
      <c r="M266" s="14" t="s">
        <v>21</v>
      </c>
      <c r="N266" s="2" t="s">
        <v>22</v>
      </c>
      <c r="O266" s="4">
        <v>19995</v>
      </c>
      <c r="P266">
        <v>23594.1</v>
      </c>
      <c r="Q266" s="21">
        <f>Table1[[#This Row],[סכום כולל מע"מ]]-Table1[[#This Row],[סכום לפני מעמ2]]</f>
        <v>3599.0999999999985</v>
      </c>
    </row>
    <row r="267" spans="2:17" hidden="1" x14ac:dyDescent="0.25">
      <c r="B267">
        <v>265</v>
      </c>
      <c r="C267" t="s">
        <v>15</v>
      </c>
      <c r="D267">
        <v>265</v>
      </c>
      <c r="E267" s="13" t="s">
        <v>553</v>
      </c>
      <c r="F267">
        <v>60471</v>
      </c>
      <c r="G267" s="7">
        <v>46022</v>
      </c>
      <c r="H267" s="2" t="s">
        <v>554</v>
      </c>
      <c r="I267" s="2" t="s">
        <v>18</v>
      </c>
      <c r="J267" s="2" t="s">
        <v>33</v>
      </c>
      <c r="L267" s="2" t="s">
        <v>20</v>
      </c>
      <c r="M267" s="14" t="s">
        <v>34</v>
      </c>
      <c r="N267" s="2" t="s">
        <v>22</v>
      </c>
      <c r="O267" s="4">
        <v>19995</v>
      </c>
      <c r="P267">
        <v>23594.1</v>
      </c>
      <c r="Q267" s="21">
        <f>Table1[[#This Row],[סכום כולל מע"מ]]-Table1[[#This Row],[סכום לפני מעמ2]]</f>
        <v>3599.0999999999985</v>
      </c>
    </row>
    <row r="268" spans="2:17" x14ac:dyDescent="0.25">
      <c r="B268" s="15"/>
      <c r="C268" s="15"/>
      <c r="D268" s="15"/>
      <c r="E268" s="16"/>
      <c r="F268" s="15"/>
      <c r="G268" s="17"/>
      <c r="H268" s="18"/>
      <c r="I268" s="18"/>
      <c r="J268" s="18"/>
      <c r="K268" s="18"/>
      <c r="L268" s="18"/>
      <c r="M268" s="19"/>
      <c r="N268" s="18"/>
      <c r="O268" s="20">
        <f>SUBTOTAL(109,Table1[סכום לפני מעמ2])</f>
        <v>88612</v>
      </c>
      <c r="P268" s="20">
        <f>SUBTOTAL(109,Table1[סכום לפני מעמ2])</f>
        <v>88612</v>
      </c>
      <c r="Q268">
        <f>SUBTOTAL(109,Table1[Column1])</f>
        <v>15950.159999999991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</dc:creator>
  <cp:lastModifiedBy>בועז אנגלנדר</cp:lastModifiedBy>
  <dcterms:created xsi:type="dcterms:W3CDTF">2026-02-03T07:03:38Z</dcterms:created>
  <dcterms:modified xsi:type="dcterms:W3CDTF">2026-02-18T14:11:23Z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0x01010079ADEC314A57B24D868FBD1B89B9EC83</vt:lpwstr>
  </property>
  <property fmtid="{D5CDD505-2E9C-101B-9397-08002B2CF9AE}" pid="3" name="_dlc_DocIdItemGuid">
    <vt:lpwstr>e1b53d28-73ab-44ca-ad63-6a19f7f8e6b1</vt:lpwstr>
  </property>
  <property fmtid="{D5CDD505-2E9C-101B-9397-08002B2CF9AE}" pid="4" name="MediaServiceImageTags">
    <vt:lpwstr/>
  </property>
</Properties>
</file>